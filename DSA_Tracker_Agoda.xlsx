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nishitranjan/Downloads/"/>
    </mc:Choice>
  </mc:AlternateContent>
  <xr:revisionPtr revIDLastSave="0" documentId="13_ncr:1_{CC39246E-00C4-BD42-B76D-7F127A77CEE2}" xr6:coauthVersionLast="47" xr6:coauthVersionMax="47" xr10:uidLastSave="{00000000-0000-0000-0000-000000000000}"/>
  <bookViews>
    <workbookView xWindow="0" yWindow="760" windowWidth="34560" windowHeight="19880" tabRatio="500" xr2:uid="{00000000-000D-0000-FFFF-FFFF00000000}"/>
  </bookViews>
  <sheets>
    <sheet name="Tracker" sheetId="1" r:id="rId1"/>
    <sheet name="Dashboard" sheetId="2" r:id="rId2"/>
    <sheet name="Daily Log" sheetId="3" r:id="rId3"/>
    <sheet name="Delivery Checklist" sheetId="4" r:id="rId4"/>
  </sheets>
  <definedNames>
    <definedName name="_xlnm._FilterDatabase" localSheetId="0" hidden="1">Tracker!$A$3:$Q$82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C9" i="3"/>
  <c r="F25" i="2"/>
  <c r="E25" i="2"/>
  <c r="F24" i="2"/>
  <c r="E24" i="2"/>
  <c r="B24" i="2"/>
  <c r="F23" i="2"/>
  <c r="E23" i="2"/>
  <c r="F22" i="2"/>
  <c r="G22" i="2" s="1"/>
  <c r="E22" i="2"/>
  <c r="F21" i="2"/>
  <c r="G21" i="2" s="1"/>
  <c r="E21" i="2"/>
  <c r="F20" i="2"/>
  <c r="E20" i="2"/>
  <c r="F19" i="2"/>
  <c r="G19" i="2" s="1"/>
  <c r="E19" i="2"/>
  <c r="F18" i="2"/>
  <c r="G18" i="2" s="1"/>
  <c r="E18" i="2"/>
  <c r="B18" i="2"/>
  <c r="F17" i="2"/>
  <c r="E17" i="2"/>
  <c r="B17" i="2"/>
  <c r="B23" i="2" s="1"/>
  <c r="F16" i="2"/>
  <c r="E16" i="2"/>
  <c r="F15" i="2"/>
  <c r="G15" i="2" s="1"/>
  <c r="E15" i="2"/>
  <c r="F14" i="2"/>
  <c r="G14" i="2" s="1"/>
  <c r="E14" i="2"/>
  <c r="B14" i="2"/>
  <c r="B12" i="2"/>
  <c r="B10" i="2"/>
  <c r="F9" i="2"/>
  <c r="E9" i="2"/>
  <c r="B9" i="2"/>
  <c r="F8" i="2"/>
  <c r="E8" i="2"/>
  <c r="F7" i="2"/>
  <c r="E7" i="2"/>
  <c r="B7" i="2"/>
  <c r="F6" i="2"/>
  <c r="E6" i="2"/>
  <c r="B6" i="2"/>
  <c r="F5" i="2"/>
  <c r="E5" i="2"/>
  <c r="B5" i="2"/>
  <c r="B4" i="2"/>
  <c r="G24" i="2" l="1"/>
  <c r="G25" i="2"/>
  <c r="G17" i="2"/>
  <c r="G16" i="2"/>
  <c r="G7" i="2"/>
  <c r="G8" i="2"/>
  <c r="G20" i="2"/>
  <c r="G23" i="2"/>
  <c r="G6" i="2"/>
  <c r="G9" i="2"/>
  <c r="E10" i="2"/>
  <c r="B8" i="2"/>
  <c r="B13" i="2"/>
  <c r="B22" i="2" s="1"/>
  <c r="B16" i="2"/>
  <c r="B15" i="2"/>
  <c r="B11" i="2"/>
  <c r="B21" i="2"/>
  <c r="G5" i="2"/>
  <c r="F10" i="2"/>
  <c r="G10" i="2" s="1"/>
</calcChain>
</file>

<file path=xl/sharedStrings.xml><?xml version="1.0" encoding="utf-8"?>
<sst xmlns="http://schemas.openxmlformats.org/spreadsheetml/2006/main" count="677" uniqueCount="368">
  <si>
    <t>DSA PREPARATION TRACKER — AGODA EM LOOP</t>
  </si>
  <si>
    <t>FILL IN the yellow columns: Status, Time, Solved Unaided?, Needs Re-do, Re-do Done, Confidence, Notes.  Columns A-J are reference. Descriptions are paraphrased summaries — read the full problem statement on the platform before solving.</t>
  </si>
  <si>
    <t>#</t>
  </si>
  <si>
    <t>Day</t>
  </si>
  <si>
    <t>Block</t>
  </si>
  <si>
    <t>Pattern</t>
  </si>
  <si>
    <t>Problem</t>
  </si>
  <si>
    <t>Description</t>
  </si>
  <si>
    <t>Sample Input</t>
  </si>
  <si>
    <t>Expected Output</t>
  </si>
  <si>
    <t>Difficulty</t>
  </si>
  <si>
    <t>Priority</t>
  </si>
  <si>
    <t>Status</t>
  </si>
  <si>
    <t>Time (min)</t>
  </si>
  <si>
    <t>Solved Unaided?</t>
  </si>
  <si>
    <t>Needs Re-do</t>
  </si>
  <si>
    <t>Re-do Done</t>
  </si>
  <si>
    <t>Confidence (1-5)</t>
  </si>
  <si>
    <t>Key Insight / Notes</t>
  </si>
  <si>
    <t>(example row — delete me)</t>
  </si>
  <si>
    <t>Two Sum</t>
  </si>
  <si>
    <t>Return indices of the two numbers adding to target.</t>
  </si>
  <si>
    <t>nums = [2,7,11,15], target = 9</t>
  </si>
  <si>
    <t>[0,1]</t>
  </si>
  <si>
    <t>Easy</t>
  </si>
  <si>
    <t>Core</t>
  </si>
  <si>
    <t>Done</t>
  </si>
  <si>
    <t>Yes</t>
  </si>
  <si>
    <t>No</t>
  </si>
  <si>
    <t>Hash map of complement; single pass.</t>
  </si>
  <si>
    <t>Hash Map &amp; Arrays</t>
  </si>
  <si>
    <t>Return the indices of the two numbers in the array that add up to the target. Exactly one valid pair exists.</t>
  </si>
  <si>
    <t>Contains Duplicate</t>
  </si>
  <si>
    <t>Return true if any value appears at least twice in the array.</t>
  </si>
  <si>
    <t>nums = [1,2,3,1]</t>
  </si>
  <si>
    <t>true</t>
  </si>
  <si>
    <t>Valid Anagram</t>
  </si>
  <si>
    <t>Return true if the second string is a rearrangement of the characters of the first.</t>
  </si>
  <si>
    <t>s = "anagram", t = "nagaram"</t>
  </si>
  <si>
    <t>Group Anagrams</t>
  </si>
  <si>
    <t>Group all strings that are anagrams of one another into sublists. Order of groups does not matter.</t>
  </si>
  <si>
    <t>strs = ["eat","tea","tan","ate","nat","bat"]</t>
  </si>
  <si>
    <t>[["eat","tea","ate"],["tan","nat"],["bat"]]</t>
  </si>
  <si>
    <t>Medium</t>
  </si>
  <si>
    <t>Top K Frequent Elements</t>
  </si>
  <si>
    <t>Return the k most frequently occurring values in the array.</t>
  </si>
  <si>
    <t>nums = [1,1,1,2,2,3], k = 2</t>
  </si>
  <si>
    <t>[1,2]</t>
  </si>
  <si>
    <t>Product of Array Except Self</t>
  </si>
  <si>
    <t>For each index, return the product of every other element. No division allowed; aim for O(n).</t>
  </si>
  <si>
    <t>nums = [1,2,3,4]</t>
  </si>
  <si>
    <t>[24,12,8,6]</t>
  </si>
  <si>
    <t>Longest Consecutive Sequence</t>
  </si>
  <si>
    <t>Return the length of the longest run of consecutive integers present in the array. Target O(n).</t>
  </si>
  <si>
    <t>nums = [100,4,200,1,3,2]</t>
  </si>
  <si>
    <t>4</t>
  </si>
  <si>
    <t>Subarray Sum Equals K</t>
  </si>
  <si>
    <t>Count the contiguous subarrays whose elements sum to k. Prefix-sum plus hash map.</t>
  </si>
  <si>
    <t>nums = [1,1,1], k = 2</t>
  </si>
  <si>
    <t>2</t>
  </si>
  <si>
    <t>Two Pointers</t>
  </si>
  <si>
    <t>Valid Palindrome</t>
  </si>
  <si>
    <t>Ignoring non-alphanumeric characters and case, determine whether the string reads the same forwards and backwards.</t>
  </si>
  <si>
    <t>s = "A man, a plan, a canal: Panama"</t>
  </si>
  <si>
    <t>Two Sum II (Sorted Input)</t>
  </si>
  <si>
    <t>The array is sorted. Return the 1-indexed positions of the two values summing to the target, using O(1) extra space.</t>
  </si>
  <si>
    <t>numbers = [2,7,11,15], target = 9</t>
  </si>
  <si>
    <t>3Sum</t>
  </si>
  <si>
    <t>Find all unique triplets in the array that sum to zero. No duplicate triplets in the output.</t>
  </si>
  <si>
    <t>nums = [-1,0,1,2,-1,-4]</t>
  </si>
  <si>
    <t>[[-1,-1,2],[-1,0,1]]</t>
  </si>
  <si>
    <t>Container With Most Water</t>
  </si>
  <si>
    <t>Each value is a vertical line height. Pick two lines that with the x-axis hold the most water.</t>
  </si>
  <si>
    <t>height = [1,8,6,2,5,4,8,3,7]</t>
  </si>
  <si>
    <t>49</t>
  </si>
  <si>
    <t>Sort Colors</t>
  </si>
  <si>
    <t>Sort an array containing only 0s, 1s and 2s in a single pass with constant extra space (Dutch national flag).</t>
  </si>
  <si>
    <t>nums = [2,0,2,1,1,0]</t>
  </si>
  <si>
    <t>[0,0,1,1,2,2]</t>
  </si>
  <si>
    <t>Optional</t>
  </si>
  <si>
    <t>Trapping Rain Water</t>
  </si>
  <si>
    <t>Given an elevation map, compute how much rainwater is trapped between the bars.</t>
  </si>
  <si>
    <t>height = [0,1,0,2,1,0,1,3,2,1,2,1]</t>
  </si>
  <si>
    <t>6</t>
  </si>
  <si>
    <t>Hard</t>
  </si>
  <si>
    <t>Stretch</t>
  </si>
  <si>
    <t>Sliding Window</t>
  </si>
  <si>
    <t>Best Time to Buy and Sell Stock</t>
  </si>
  <si>
    <t>One buy and one sell, buy before sell. Return the maximum achievable profit, or 0.</t>
  </si>
  <si>
    <t>prices = [7,1,5,3,6,4]</t>
  </si>
  <si>
    <t>5</t>
  </si>
  <si>
    <t>Longest Substring Without Repeating Chars</t>
  </si>
  <si>
    <t>Return the length of the longest substring containing no repeated character.</t>
  </si>
  <si>
    <t>s = "abcabcbb"</t>
  </si>
  <si>
    <t>3</t>
  </si>
  <si>
    <t>Longest Repeating Character Replacement</t>
  </si>
  <si>
    <t>You may change up to k characters. Return the longest substring achievable of a single repeated letter.</t>
  </si>
  <si>
    <t>s = "AABABBA", k = 1</t>
  </si>
  <si>
    <t>Permutation in String</t>
  </si>
  <si>
    <t>Return true if the second string contains any permutation of the first as a contiguous substring.</t>
  </si>
  <si>
    <t>s1 = "ab", s2 = "eidbaooo"</t>
  </si>
  <si>
    <t>Maximum Average Subarray I</t>
  </si>
  <si>
    <t>Find the contiguous subarray of exactly length k with the largest average.</t>
  </si>
  <si>
    <t>nums = [1,12,-5,-6,50,3], k = 4</t>
  </si>
  <si>
    <t>12.75</t>
  </si>
  <si>
    <t>Minimum Window Substring</t>
  </si>
  <si>
    <t>Return the shortest substring of s containing every character of t, including duplicates.</t>
  </si>
  <si>
    <t>s = "ADOBECODEBANC", t = "ABC"</t>
  </si>
  <si>
    <t>"BANC"</t>
  </si>
  <si>
    <t>Sliding Window Maximum</t>
  </si>
  <si>
    <t>For every window of size k, report the maximum. Use a monotonic deque for O(n).</t>
  </si>
  <si>
    <t>nums = [1,3,-1,-3,5,3,6,7], k = 3</t>
  </si>
  <si>
    <t>[3,3,5,5,6,7]</t>
  </si>
  <si>
    <t>Stack</t>
  </si>
  <si>
    <t>Valid Parentheses</t>
  </si>
  <si>
    <t>Determine whether the bracket string is correctly opened and closed in the right order.</t>
  </si>
  <si>
    <t>s = "()[]{}"</t>
  </si>
  <si>
    <t>Min Stack</t>
  </si>
  <si>
    <t>Design a stack supporting push, pop, top and retrieving the minimum, all in O(1).</t>
  </si>
  <si>
    <t>push(-2); push(0); push(-3); getMin(); pop(); top(); getMin()</t>
  </si>
  <si>
    <t>-3, then 0, then -2</t>
  </si>
  <si>
    <t>Evaluate Reverse Polish Notation</t>
  </si>
  <si>
    <t>Evaluate an arithmetic expression given in postfix notation.</t>
  </si>
  <si>
    <t>tokens = ["2","1","+","3","*"]</t>
  </si>
  <si>
    <t>9</t>
  </si>
  <si>
    <t>Daily Temperatures</t>
  </si>
  <si>
    <t>For each day, how many days until a warmer temperature. 0 if none. Monotonic stack.</t>
  </si>
  <si>
    <t>temperatures = [73,74,75,71,69,72,76,73]</t>
  </si>
  <si>
    <t>[1,1,4,2,1,1,0,0]</t>
  </si>
  <si>
    <t>Largest Rectangle in Histogram</t>
  </si>
  <si>
    <t>Find the area of the largest rectangle that fits inside the histogram.</t>
  </si>
  <si>
    <t>heights = [2,1,5,6,2,3]</t>
  </si>
  <si>
    <t>10</t>
  </si>
  <si>
    <t>Binary Search</t>
  </si>
  <si>
    <t>Classic search in a sorted array. Return the index of the target or -1.</t>
  </si>
  <si>
    <t>nums = [-1,0,3,5,9,12], target = 9</t>
  </si>
  <si>
    <t>Search a 2D Matrix</t>
  </si>
  <si>
    <t>Rows are sorted and each row starts after the previous ends. Search the matrix in O(log(m*n)).</t>
  </si>
  <si>
    <t>matrix = [[1,3,5,7],[10,11,16,20],[23,30,34,60]], target = 3</t>
  </si>
  <si>
    <t>Find Minimum in Rotated Sorted Array</t>
  </si>
  <si>
    <t>A sorted array was rotated at an unknown pivot. Find the minimum in O(log n).</t>
  </si>
  <si>
    <t>nums = [3,4,5,1,2]</t>
  </si>
  <si>
    <t>1</t>
  </si>
  <si>
    <t>Search in Rotated Sorted Array</t>
  </si>
  <si>
    <t>Search for a target in a rotated sorted array in O(log n). Decide which half is sorted at each step.</t>
  </si>
  <si>
    <t>nums = [4,5,6,7,0,1,2], target = 0</t>
  </si>
  <si>
    <t>Koko Eating Bananas</t>
  </si>
  <si>
    <t>Find the minimum eating speed that finishes all piles within h hours. Binary search on the answer.</t>
  </si>
  <si>
    <t>piles = [3,6,7,11], h = 8</t>
  </si>
  <si>
    <t>Median of Two Sorted Arrays</t>
  </si>
  <si>
    <t>Find the median of two sorted arrays in O(log(min(m,n))). Partition-based binary search.</t>
  </si>
  <si>
    <t>nums1 = [1,3], nums2 = [2]</t>
  </si>
  <si>
    <t>2.00000</t>
  </si>
  <si>
    <t>Linked List</t>
  </si>
  <si>
    <t>Reverse Linked List</t>
  </si>
  <si>
    <t>Reverse a singly linked list. Know both the iterative and recursive forms.</t>
  </si>
  <si>
    <t>head = [1,2,3,4,5]</t>
  </si>
  <si>
    <t>[5,4,3,2,1]</t>
  </si>
  <si>
    <t>Merge Two Sorted Lists</t>
  </si>
  <si>
    <t>Merge two sorted linked lists into one sorted list by splicing nodes.</t>
  </si>
  <si>
    <t>list1 = [1,2,4], list2 = [1,3,4]</t>
  </si>
  <si>
    <t>[1,1,2,3,4,4]</t>
  </si>
  <si>
    <t>Linked List Cycle</t>
  </si>
  <si>
    <t>Detect whether the list contains a cycle using fast and slow pointers.</t>
  </si>
  <si>
    <t>head = [3,2,0,-4], tail connects to index 1</t>
  </si>
  <si>
    <t>Remove Nth Node From End</t>
  </si>
  <si>
    <t>Remove the nth node counted from the end, in a single pass using two offset pointers.</t>
  </si>
  <si>
    <t>head = [1,2,3,4,5], n = 2</t>
  </si>
  <si>
    <t>[1,2,3,5]</t>
  </si>
  <si>
    <t>Reorder List</t>
  </si>
  <si>
    <t>Reorder to first, last, second, second-last, and so on. Split, reverse the back half, interleave.</t>
  </si>
  <si>
    <t>head = [1,2,3,4]</t>
  </si>
  <si>
    <t>[1,4,2,3]</t>
  </si>
  <si>
    <t>LRU Cache</t>
  </si>
  <si>
    <t>Design a fixed-capacity cache with O(1) get and put, evicting the least recently used entry. Hash map plus doubly linked list.</t>
  </si>
  <si>
    <t>capacity = 2; put(1,1); put(2,2); get(1); put(3,3); get(2)</t>
  </si>
  <si>
    <t>1, then -1 (key 2 evicted)</t>
  </si>
  <si>
    <t>Trees</t>
  </si>
  <si>
    <t>Invert Binary Tree</t>
  </si>
  <si>
    <t>Swap the left and right child of every node.</t>
  </si>
  <si>
    <t>root = [4,2,7,1,3,6,9]</t>
  </si>
  <si>
    <t>[4,7,2,9,6,3,1]</t>
  </si>
  <si>
    <t>Maximum Depth of Binary Tree</t>
  </si>
  <si>
    <t>Return the number of nodes on the longest root-to-leaf path.</t>
  </si>
  <si>
    <t>root = [3,9,20,null,null,15,7]</t>
  </si>
  <si>
    <t>Same Tree</t>
  </si>
  <si>
    <t>Return true if two binary trees have identical structure and identical values.</t>
  </si>
  <si>
    <t>p = [1,2,3], q = [1,2,3]</t>
  </si>
  <si>
    <t>Balanced Binary Tree</t>
  </si>
  <si>
    <t>Return true if the depths of the two subtrees of every node differ by at most one.</t>
  </si>
  <si>
    <t>Binary Tree Level Order Traversal</t>
  </si>
  <si>
    <t>Return node values level by level, left to right. Standard BFS.</t>
  </si>
  <si>
    <t>[[3],[9,20],[15,7]]</t>
  </si>
  <si>
    <t>Binary Tree Right Side View</t>
  </si>
  <si>
    <t>Return the values visible when the tree is viewed from the right: the last node of each level.</t>
  </si>
  <si>
    <t>root = [1,2,3,null,5,null,4]</t>
  </si>
  <si>
    <t>[1,3,4]</t>
  </si>
  <si>
    <t>Lowest Common Ancestor of a BST</t>
  </si>
  <si>
    <t>Find the deepest node that is an ancestor of both given nodes, exploiting the BST ordering.</t>
  </si>
  <si>
    <t>root = [6,2,8,0,4,7,9], p = 2, q = 8</t>
  </si>
  <si>
    <t>Validate Binary Search Tree</t>
  </si>
  <si>
    <t>Verify the whole tree satisfies the BST property, not merely each parent-child pair. Carry min/max bounds down.</t>
  </si>
  <si>
    <t>root = [5,1,4,null,null,3,6]</t>
  </si>
  <si>
    <t>false</t>
  </si>
  <si>
    <t>Kth Smallest Element in a BST</t>
  </si>
  <si>
    <t>Return the kth smallest value. In-order traversal yields sorted order.</t>
  </si>
  <si>
    <t>root = [3,1,4,null,2], k = 1</t>
  </si>
  <si>
    <t>Binary Tree Maximum Path Sum</t>
  </si>
  <si>
    <t>Find the largest sum along any path between any two nodes; the path need not pass through the root.</t>
  </si>
  <si>
    <t>root = [-10,9,20,null,null,15,7]</t>
  </si>
  <si>
    <t>42</t>
  </si>
  <si>
    <t>Heap / Priority Queue</t>
  </si>
  <si>
    <t>Kth Largest Element in an Array</t>
  </si>
  <si>
    <t>Return the kth largest value. Min-heap of size k, or quickselect.</t>
  </si>
  <si>
    <t>nums = [3,2,1,5,6,4], k = 2</t>
  </si>
  <si>
    <t>K Closest Points to Origin</t>
  </si>
  <si>
    <t>Return the k points nearest to the origin by Euclidean distance. Compare squared distances.</t>
  </si>
  <si>
    <t>points = [[1,3],[-2,2]], k = 1</t>
  </si>
  <si>
    <t>[[-2,2]]</t>
  </si>
  <si>
    <t>Task Scheduler</t>
  </si>
  <si>
    <t>Identical tasks need n intervals between them. Return the minimum total time including idle slots.</t>
  </si>
  <si>
    <t>tasks = ["A","A","A","B","B","B"], n = 2</t>
  </si>
  <si>
    <t>8</t>
  </si>
  <si>
    <t>Find Median from Data Stream</t>
  </si>
  <si>
    <t>Support adding numbers and querying the running median. Two heaps: max-heap low half, min-heap high half.</t>
  </si>
  <si>
    <t>addNum(1); addNum(2); findMedian(); addNum(3); findMedian()</t>
  </si>
  <si>
    <t>1.5, then 2.0</t>
  </si>
  <si>
    <t>Merge K Sorted Lists</t>
  </si>
  <si>
    <t>Merge k sorted linked lists into one. Min-heap of list heads, or divide and conquer.</t>
  </si>
  <si>
    <t>lists = [[1,4,5],[1,3,4],[2,6]]</t>
  </si>
  <si>
    <t>[1,1,2,3,4,4,5,6]</t>
  </si>
  <si>
    <t>Graphs</t>
  </si>
  <si>
    <t>Number of Islands</t>
  </si>
  <si>
    <t>Count connected groups of land cells in a grid of '1' land and '0' water. Flood fill via DFS or BFS.</t>
  </si>
  <si>
    <t>grid = [["1","1","0"],["1","0","0"],["0","0","1"]]</t>
  </si>
  <si>
    <t>Clone Graph</t>
  </si>
  <si>
    <t>Deep-copy a connected undirected graph. Hash map from original node to its clone prevents cycles.</t>
  </si>
  <si>
    <t>adjList = [[2,4],[1,3],[2,4],[1,3]]</t>
  </si>
  <si>
    <t>Deep copy of the same graph</t>
  </si>
  <si>
    <t>Max Area of Island</t>
  </si>
  <si>
    <t>Return the size of the largest connected group of 1s in a binary grid.</t>
  </si>
  <si>
    <t>grid with a largest island of 6 cells</t>
  </si>
  <si>
    <t>Rotting Oranges</t>
  </si>
  <si>
    <t>Rot spreads to adjacent fresh oranges each minute. Return minutes until none are fresh, or -1. Multi-source BFS.</t>
  </si>
  <si>
    <t>grid = [[2,1,1],[1,1,0],[0,1,1]]</t>
  </si>
  <si>
    <t>Course Schedule</t>
  </si>
  <si>
    <t>Given prerequisite pairs, determine whether all courses can be finished. Cycle detection on a directed graph.</t>
  </si>
  <si>
    <t>numCourses = 2, prerequisites = [[1,0]]</t>
  </si>
  <si>
    <t>Course Schedule II</t>
  </si>
  <si>
    <t>Return a valid ordering in which to take all courses, or an empty array if impossible. Topological sort.</t>
  </si>
  <si>
    <t>numCourses = 4, prerequisites = [[1,0],[2,0],[3,1],[3,2]]</t>
  </si>
  <si>
    <t>[0,1,2,3]</t>
  </si>
  <si>
    <t>Pacific Atlantic Water Flow</t>
  </si>
  <si>
    <t>Find cells from which water can reach both oceans. Reverse DFS inward from each border.</t>
  </si>
  <si>
    <t>heights = 5x5 grid with both borders reachable from certain cells</t>
  </si>
  <si>
    <t>List of [row,col] coordinates</t>
  </si>
  <si>
    <t>Word Ladder</t>
  </si>
  <si>
    <t>Shortest transformation sequence changing one letter at a time, every intermediate word in the dictionary. BFS.</t>
  </si>
  <si>
    <t>beginWord = "hit", endWord = "cog", wordList = ["hot","dot","dog","lot","log","cog"]</t>
  </si>
  <si>
    <t>Intervals</t>
  </si>
  <si>
    <t>Merge Intervals</t>
  </si>
  <si>
    <t>Merge all overlapping intervals. Sort by start, then extend or append.</t>
  </si>
  <si>
    <t>intervals = [[1,3],[2,6],[8,10],[15,18]]</t>
  </si>
  <si>
    <t>[[1,6],[8,10],[15,18]]</t>
  </si>
  <si>
    <t>Insert Interval</t>
  </si>
  <si>
    <t>Insert a new interval into a sorted non-overlapping list, merging where necessary.</t>
  </si>
  <si>
    <t>intervals = [[1,3],[6,9]], newInterval = [2,5]</t>
  </si>
  <si>
    <t>[[1,5],[6,9]]</t>
  </si>
  <si>
    <t>Meeting Rooms</t>
  </si>
  <si>
    <t>Determine whether a person can attend every meeting, i.e. no two intervals overlap.</t>
  </si>
  <si>
    <t>intervals = [[0,30],[5,10],[15,20]]</t>
  </si>
  <si>
    <t>Meeting Rooms II</t>
  </si>
  <si>
    <t>Minimum number of rooms needed for all meetings. Structurally the hotel-availability problem: sweep line or min-heap of end times.</t>
  </si>
  <si>
    <t>Non-overlapping Intervals</t>
  </si>
  <si>
    <t>Minimum number of intervals to remove so the rest do not overlap. Greedy on earliest end time.</t>
  </si>
  <si>
    <t>intervals = [[1,2],[2,3],[3,4],[1,3]]</t>
  </si>
  <si>
    <t>Dynamic Programming</t>
  </si>
  <si>
    <t>Climbing Stairs</t>
  </si>
  <si>
    <t>Count distinct ways to reach step n taking 1 or 2 steps at a time. Fibonacci in disguise.</t>
  </si>
  <si>
    <t>n = 3</t>
  </si>
  <si>
    <t>House Robber</t>
  </si>
  <si>
    <t>Maximise the sum of chosen elements with no two adjacent.</t>
  </si>
  <si>
    <t>nums = [2,7,9,3,1]</t>
  </si>
  <si>
    <t>12</t>
  </si>
  <si>
    <t>House Robber II</t>
  </si>
  <si>
    <t>Same as above but the array is circular: first and last are adjacent. Run the linear version twice.</t>
  </si>
  <si>
    <t>nums = [2,3,2]</t>
  </si>
  <si>
    <t>Coin Change</t>
  </si>
  <si>
    <t>Fewest coins summing to the amount, or -1 if impossible. Unbounded knapsack.</t>
  </si>
  <si>
    <t>coins = [1,2,5], amount = 11</t>
  </si>
  <si>
    <t>Longest Increasing Subsequence</t>
  </si>
  <si>
    <t>Length of the longest strictly increasing subsequence. O(n^2) DP, or O(n log n) with patience sorting.</t>
  </si>
  <si>
    <t>nums = [10,9,2,5,3,7,101,18]</t>
  </si>
  <si>
    <t>Word Break</t>
  </si>
  <si>
    <t>Determine whether the string can be segmented into a sequence of dictionary words.</t>
  </si>
  <si>
    <t>s = "leetcode", wordDict = ["leet","code"]</t>
  </si>
  <si>
    <t>Unique Paths</t>
  </si>
  <si>
    <t>Count paths from top-left to bottom-right of an m x n grid moving only right or down.</t>
  </si>
  <si>
    <t>m = 3, n = 7</t>
  </si>
  <si>
    <t>28</t>
  </si>
  <si>
    <t>Longest Common Subsequence</t>
  </si>
  <si>
    <t>Length of the longest subsequence common to both strings. 2D DP table.</t>
  </si>
  <si>
    <t>text1 = "abcde", text2 = "ace"</t>
  </si>
  <si>
    <t>Backtracking</t>
  </si>
  <si>
    <t>Subsets</t>
  </si>
  <si>
    <t>Return the power set: all possible subsets of a distinct-element array.</t>
  </si>
  <si>
    <t>nums = [1,2,3]</t>
  </si>
  <si>
    <t>[[],[1],[2],[1,2],[3],[1,3],[2,3],[1,2,3]]</t>
  </si>
  <si>
    <t>Combination Sum</t>
  </si>
  <si>
    <t>All unique combinations summing to the target; each candidate may be reused without limit.</t>
  </si>
  <si>
    <t>candidates = [2,3,6,7], target = 7</t>
  </si>
  <si>
    <t>[[2,2,3],[7]]</t>
  </si>
  <si>
    <t>Permutations</t>
  </si>
  <si>
    <t>Return every possible ordering of the distinct elements.</t>
  </si>
  <si>
    <t>[[1,2,3],[1,3,2],[2,1,3],[2,3,1],[3,1,2],[3,2,1]]</t>
  </si>
  <si>
    <t>Word Search</t>
  </si>
  <si>
    <t>Determine whether the word can be traced through adjacent cells of the grid without reusing a cell.</t>
  </si>
  <si>
    <t>board = [["A","B","C","E"],["S","F","C","S"],["A","D","E","E"]], word = "ABCCED"</t>
  </si>
  <si>
    <t>PROGRESS DASHBOARD</t>
  </si>
  <si>
    <t>OVERALL</t>
  </si>
  <si>
    <t>BY DAY</t>
  </si>
  <si>
    <t>Total problems</t>
  </si>
  <si>
    <t>Planned</t>
  </si>
  <si>
    <t>% Done</t>
  </si>
  <si>
    <t>Completed</t>
  </si>
  <si>
    <t>In progress</t>
  </si>
  <si>
    <t>Not started</t>
  </si>
  <si>
    <t>Completion %</t>
  </si>
  <si>
    <t>Core done</t>
  </si>
  <si>
    <t>Core total</t>
  </si>
  <si>
    <t>TOTAL</t>
  </si>
  <si>
    <t>Core completion %</t>
  </si>
  <si>
    <t>Solved unaided</t>
  </si>
  <si>
    <t>BY PATTERN</t>
  </si>
  <si>
    <t>Unaided rate</t>
  </si>
  <si>
    <t>Total time (min)</t>
  </si>
  <si>
    <t>Total time (hrs)</t>
  </si>
  <si>
    <t>Avg time per problem</t>
  </si>
  <si>
    <t>Avg confidence</t>
  </si>
  <si>
    <t>Re-dos outstanding</t>
  </si>
  <si>
    <t>READINESS GATES</t>
  </si>
  <si>
    <t>All Core problems done</t>
  </si>
  <si>
    <t>Unaided rate &gt;= 70%</t>
  </si>
  <si>
    <t>Avg confidence &gt;= 3.5</t>
  </si>
  <si>
    <t>No outstanding re-dos</t>
  </si>
  <si>
    <t>'Solved unaided' is the metric that matters. A problem you read the solution for is not done — set Needs Re-do = Yes and re-solve it cold before the loop.</t>
  </si>
  <si>
    <t>DAILY LOG</t>
  </si>
  <si>
    <t>Date</t>
  </si>
  <si>
    <t>Hours Studied</t>
  </si>
  <si>
    <t>Problems Done</t>
  </si>
  <si>
    <t>Weakest Pattern Today</t>
  </si>
  <si>
    <t>Reflection / What to fix tomorrow</t>
  </si>
  <si>
    <t>(example)</t>
  </si>
  <si>
    <t>Binary search boundaries</t>
  </si>
  <si>
    <t>Off-by-one on the upper bound repeatedly. Re-drill the template first thing tomorrow.</t>
  </si>
  <si>
    <t>INTERVIEW DELIVERY SEQUENCE — REHEARSE UNTIL AUTOMATIC</t>
  </si>
  <si>
    <t>Step</t>
  </si>
  <si>
    <t>Action</t>
  </si>
  <si>
    <t>Habitual? (Y/N)</t>
  </si>
  <si>
    <t>Restate the problem and confirm your understanding</t>
  </si>
  <si>
    <t>Ask about constraints: input size, value ranges, duplicates, empty input, sorted?</t>
  </si>
  <si>
    <t>State the brute-force approach and its time/space complexity</t>
  </si>
  <si>
    <t>Describe the optimised approach BEFORE writing code; get agreement</t>
  </si>
  <si>
    <t>Code it while narrating your reasoning out loud</t>
  </si>
  <si>
    <t>Walk through a worked example manually, including one edge case</t>
  </si>
  <si>
    <t>State final time and space complexity unprompted</t>
  </si>
  <si>
    <t>Say what you would change for production (validation, guards, testability)</t>
  </si>
  <si>
    <t>Step 8 is your differentiator as an engineering manager. ICs routinely skip it; interviewers notice.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</si>
</sst>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i/>
      <sz val="9"/>
      <color rgb="FFA6A6A6"/>
      <name val="Arial"/>
      <family val="2"/>
    </font>
    <font>
      <sz val="10"/>
      <name val="Arial"/>
      <family val="2"/>
    </font>
    <font>
      <sz val="9"/>
      <name val="Consolas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8" fillId="6" borderId="1" xfId="0" applyFont="1" applyFill="1" applyBorder="1"/>
    <xf numFmtId="0" fontId="0" fillId="6" borderId="1" xfId="0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7" fillId="2" borderId="0" xfId="0" applyFont="1" applyFill="1"/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zoomScaleNormal="100" workbookViewId="0">
      <pane xSplit="5" ySplit="4" topLeftCell="F43" activePane="bottomRight" state="frozen"/>
      <selection pane="topRight" activeCell="F1" sqref="F1"/>
      <selection pane="bottomLeft" activeCell="A5" sqref="A5"/>
      <selection pane="bottomRight" activeCell="K50" sqref="K50"/>
    </sheetView>
  </sheetViews>
  <sheetFormatPr baseColWidth="10" defaultColWidth="8.6640625" defaultRowHeight="15" x14ac:dyDescent="0.2"/>
  <cols>
    <col min="1" max="1" width="5" customWidth="1"/>
    <col min="2" max="2" width="6" customWidth="1"/>
    <col min="3" max="3" width="7" customWidth="1"/>
    <col min="4" max="4" width="22" customWidth="1"/>
    <col min="5" max="5" width="38" customWidth="1"/>
    <col min="6" max="6" width="62" customWidth="1"/>
    <col min="7" max="7" width="46" customWidth="1"/>
    <col min="8" max="8" width="40" customWidth="1"/>
    <col min="9" max="9" width="11" customWidth="1"/>
    <col min="10" max="10" width="10" customWidth="1"/>
    <col min="11" max="11" width="14" customWidth="1"/>
    <col min="12" max="12" width="11" customWidth="1"/>
    <col min="13" max="13" width="14" customWidth="1"/>
    <col min="14" max="14" width="12" customWidth="1"/>
    <col min="15" max="15" width="11" customWidth="1"/>
    <col min="16" max="16" width="14" customWidth="1"/>
    <col min="17" max="17" width="44" customWidth="1"/>
  </cols>
  <sheetData>
    <row r="1" spans="1:17" ht="25.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5.7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31.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7" x14ac:dyDescent="0.2">
      <c r="A4" s="2">
        <v>0</v>
      </c>
      <c r="B4" s="2">
        <v>1</v>
      </c>
      <c r="C4" s="2">
        <v>1</v>
      </c>
      <c r="D4" s="2" t="s">
        <v>19</v>
      </c>
      <c r="E4" s="2" t="s">
        <v>20</v>
      </c>
      <c r="F4" s="3" t="s">
        <v>21</v>
      </c>
      <c r="G4" s="3" t="s">
        <v>22</v>
      </c>
      <c r="H4" s="3" t="s">
        <v>23</v>
      </c>
      <c r="I4" s="2" t="s">
        <v>24</v>
      </c>
      <c r="J4" s="2" t="s">
        <v>25</v>
      </c>
      <c r="K4" s="2" t="s">
        <v>26</v>
      </c>
      <c r="L4" s="2">
        <v>12</v>
      </c>
      <c r="M4" s="2" t="s">
        <v>27</v>
      </c>
      <c r="N4" s="2" t="s">
        <v>28</v>
      </c>
      <c r="O4" s="2"/>
      <c r="P4" s="2">
        <v>4</v>
      </c>
      <c r="Q4" s="3" t="s">
        <v>29</v>
      </c>
    </row>
    <row r="5" spans="1:17" ht="42" customHeight="1" x14ac:dyDescent="0.2">
      <c r="A5" s="4">
        <v>1</v>
      </c>
      <c r="B5" s="4">
        <v>1</v>
      </c>
      <c r="C5" s="4">
        <v>1</v>
      </c>
      <c r="D5" s="5" t="s">
        <v>30</v>
      </c>
      <c r="E5" s="5" t="s">
        <v>20</v>
      </c>
      <c r="F5" s="6" t="s">
        <v>31</v>
      </c>
      <c r="G5" s="7" t="s">
        <v>22</v>
      </c>
      <c r="H5" s="7" t="s">
        <v>23</v>
      </c>
      <c r="I5" s="4" t="s">
        <v>24</v>
      </c>
      <c r="J5" s="4" t="s">
        <v>25</v>
      </c>
      <c r="K5" s="8" t="s">
        <v>26</v>
      </c>
      <c r="L5" s="8"/>
      <c r="M5" s="8"/>
      <c r="N5" s="8"/>
      <c r="O5" s="8"/>
      <c r="P5" s="8"/>
      <c r="Q5" s="9"/>
    </row>
    <row r="6" spans="1:17" ht="42" customHeight="1" x14ac:dyDescent="0.2">
      <c r="A6" s="4">
        <v>2</v>
      </c>
      <c r="B6" s="4">
        <v>1</v>
      </c>
      <c r="C6" s="4">
        <v>1</v>
      </c>
      <c r="D6" s="5" t="s">
        <v>30</v>
      </c>
      <c r="E6" s="5" t="s">
        <v>32</v>
      </c>
      <c r="F6" s="6" t="s">
        <v>33</v>
      </c>
      <c r="G6" s="7" t="s">
        <v>34</v>
      </c>
      <c r="H6" s="7" t="s">
        <v>35</v>
      </c>
      <c r="I6" s="4" t="s">
        <v>24</v>
      </c>
      <c r="J6" s="4" t="s">
        <v>25</v>
      </c>
      <c r="K6" s="8" t="s">
        <v>26</v>
      </c>
      <c r="L6" s="8"/>
      <c r="M6" s="8"/>
      <c r="N6" s="8"/>
      <c r="O6" s="8"/>
      <c r="P6" s="8"/>
      <c r="Q6" s="9"/>
    </row>
    <row r="7" spans="1:17" ht="42" customHeight="1" x14ac:dyDescent="0.2">
      <c r="A7" s="4">
        <v>3</v>
      </c>
      <c r="B7" s="4">
        <v>1</v>
      </c>
      <c r="C7" s="4">
        <v>1</v>
      </c>
      <c r="D7" s="5" t="s">
        <v>30</v>
      </c>
      <c r="E7" s="5" t="s">
        <v>36</v>
      </c>
      <c r="F7" s="6" t="s">
        <v>37</v>
      </c>
      <c r="G7" s="7" t="s">
        <v>38</v>
      </c>
      <c r="H7" s="7" t="s">
        <v>35</v>
      </c>
      <c r="I7" s="4" t="s">
        <v>24</v>
      </c>
      <c r="J7" s="4" t="s">
        <v>25</v>
      </c>
      <c r="K7" s="8" t="s">
        <v>26</v>
      </c>
      <c r="L7" s="8"/>
      <c r="M7" s="8"/>
      <c r="N7" s="8"/>
      <c r="O7" s="8"/>
      <c r="P7" s="8"/>
      <c r="Q7" s="9"/>
    </row>
    <row r="8" spans="1:17" ht="42" customHeight="1" x14ac:dyDescent="0.2">
      <c r="A8" s="4">
        <v>4</v>
      </c>
      <c r="B8" s="4">
        <v>1</v>
      </c>
      <c r="C8" s="4">
        <v>1</v>
      </c>
      <c r="D8" s="5" t="s">
        <v>30</v>
      </c>
      <c r="E8" s="5" t="s">
        <v>39</v>
      </c>
      <c r="F8" s="6" t="s">
        <v>40</v>
      </c>
      <c r="G8" s="7" t="s">
        <v>41</v>
      </c>
      <c r="H8" s="7" t="s">
        <v>42</v>
      </c>
      <c r="I8" s="4" t="s">
        <v>43</v>
      </c>
      <c r="J8" s="4" t="s">
        <v>25</v>
      </c>
      <c r="K8" s="8" t="s">
        <v>26</v>
      </c>
      <c r="L8" s="8"/>
      <c r="M8" s="8"/>
      <c r="N8" s="8"/>
      <c r="O8" s="8"/>
      <c r="P8" s="8"/>
      <c r="Q8" s="9"/>
    </row>
    <row r="9" spans="1:17" ht="42" customHeight="1" x14ac:dyDescent="0.2">
      <c r="A9" s="4">
        <v>5</v>
      </c>
      <c r="B9" s="4">
        <v>1</v>
      </c>
      <c r="C9" s="4">
        <v>1</v>
      </c>
      <c r="D9" s="5" t="s">
        <v>30</v>
      </c>
      <c r="E9" s="5" t="s">
        <v>44</v>
      </c>
      <c r="F9" s="6" t="s">
        <v>45</v>
      </c>
      <c r="G9" s="7" t="s">
        <v>46</v>
      </c>
      <c r="H9" s="7" t="s">
        <v>47</v>
      </c>
      <c r="I9" s="4" t="s">
        <v>43</v>
      </c>
      <c r="J9" s="4" t="s">
        <v>25</v>
      </c>
      <c r="K9" s="8" t="s">
        <v>26</v>
      </c>
      <c r="L9" s="8"/>
      <c r="M9" s="8"/>
      <c r="N9" s="8"/>
      <c r="O9" s="8"/>
      <c r="P9" s="8"/>
      <c r="Q9" s="9"/>
    </row>
    <row r="10" spans="1:17" ht="42" customHeight="1" x14ac:dyDescent="0.2">
      <c r="A10" s="4">
        <v>6</v>
      </c>
      <c r="B10" s="4">
        <v>1</v>
      </c>
      <c r="C10" s="4">
        <v>1</v>
      </c>
      <c r="D10" s="5" t="s">
        <v>30</v>
      </c>
      <c r="E10" s="5" t="s">
        <v>48</v>
      </c>
      <c r="F10" s="6" t="s">
        <v>49</v>
      </c>
      <c r="G10" s="7" t="s">
        <v>50</v>
      </c>
      <c r="H10" s="7" t="s">
        <v>51</v>
      </c>
      <c r="I10" s="4" t="s">
        <v>43</v>
      </c>
      <c r="J10" s="4" t="s">
        <v>25</v>
      </c>
      <c r="K10" s="8" t="s">
        <v>26</v>
      </c>
      <c r="L10" s="8"/>
      <c r="M10" s="8"/>
      <c r="N10" s="8"/>
      <c r="O10" s="8"/>
      <c r="P10" s="8"/>
      <c r="Q10" s="9"/>
    </row>
    <row r="11" spans="1:17" ht="42" customHeight="1" x14ac:dyDescent="0.2">
      <c r="A11" s="4">
        <v>7</v>
      </c>
      <c r="B11" s="4">
        <v>1</v>
      </c>
      <c r="C11" s="4">
        <v>1</v>
      </c>
      <c r="D11" s="5" t="s">
        <v>30</v>
      </c>
      <c r="E11" s="5" t="s">
        <v>52</v>
      </c>
      <c r="F11" s="6" t="s">
        <v>53</v>
      </c>
      <c r="G11" s="7" t="s">
        <v>54</v>
      </c>
      <c r="H11" s="7" t="s">
        <v>55</v>
      </c>
      <c r="I11" s="4" t="s">
        <v>43</v>
      </c>
      <c r="J11" s="4" t="s">
        <v>25</v>
      </c>
      <c r="K11" s="8" t="s">
        <v>26</v>
      </c>
      <c r="L11" s="8"/>
      <c r="M11" s="8"/>
      <c r="N11" s="8"/>
      <c r="O11" s="8"/>
      <c r="P11" s="8"/>
      <c r="Q11" s="9"/>
    </row>
    <row r="12" spans="1:17" ht="42" customHeight="1" x14ac:dyDescent="0.2">
      <c r="A12" s="4">
        <v>8</v>
      </c>
      <c r="B12" s="4">
        <v>1</v>
      </c>
      <c r="C12" s="4">
        <v>1</v>
      </c>
      <c r="D12" s="5" t="s">
        <v>30</v>
      </c>
      <c r="E12" s="5" t="s">
        <v>56</v>
      </c>
      <c r="F12" s="6" t="s">
        <v>57</v>
      </c>
      <c r="G12" s="7" t="s">
        <v>58</v>
      </c>
      <c r="H12" s="7" t="s">
        <v>59</v>
      </c>
      <c r="I12" s="4" t="s">
        <v>43</v>
      </c>
      <c r="J12" s="4" t="s">
        <v>25</v>
      </c>
      <c r="K12" s="8"/>
      <c r="L12" s="8"/>
      <c r="M12" s="8"/>
      <c r="N12" s="8"/>
      <c r="O12" s="8"/>
      <c r="P12" s="8"/>
      <c r="Q12" s="9"/>
    </row>
    <row r="13" spans="1:17" ht="42" customHeight="1" x14ac:dyDescent="0.2">
      <c r="A13" s="4">
        <v>9</v>
      </c>
      <c r="B13" s="4">
        <v>1</v>
      </c>
      <c r="C13" s="4">
        <v>2</v>
      </c>
      <c r="D13" s="5" t="s">
        <v>60</v>
      </c>
      <c r="E13" s="5" t="s">
        <v>61</v>
      </c>
      <c r="F13" s="6" t="s">
        <v>62</v>
      </c>
      <c r="G13" s="7" t="s">
        <v>63</v>
      </c>
      <c r="H13" s="7" t="s">
        <v>35</v>
      </c>
      <c r="I13" s="4" t="s">
        <v>24</v>
      </c>
      <c r="J13" s="4" t="s">
        <v>25</v>
      </c>
      <c r="K13" s="8" t="s">
        <v>26</v>
      </c>
      <c r="L13" s="8"/>
      <c r="M13" s="8"/>
      <c r="N13" s="8"/>
      <c r="O13" s="8"/>
      <c r="P13" s="8"/>
      <c r="Q13" s="9"/>
    </row>
    <row r="14" spans="1:17" ht="42" customHeight="1" x14ac:dyDescent="0.2">
      <c r="A14" s="4">
        <v>10</v>
      </c>
      <c r="B14" s="4">
        <v>1</v>
      </c>
      <c r="C14" s="4">
        <v>2</v>
      </c>
      <c r="D14" s="5" t="s">
        <v>60</v>
      </c>
      <c r="E14" s="5" t="s">
        <v>64</v>
      </c>
      <c r="F14" s="6" t="s">
        <v>65</v>
      </c>
      <c r="G14" s="7" t="s">
        <v>66</v>
      </c>
      <c r="H14" s="7" t="s">
        <v>47</v>
      </c>
      <c r="I14" s="4" t="s">
        <v>43</v>
      </c>
      <c r="J14" s="4" t="s">
        <v>25</v>
      </c>
      <c r="K14" s="8" t="s">
        <v>26</v>
      </c>
      <c r="L14" s="8"/>
      <c r="M14" s="8"/>
      <c r="N14" s="8"/>
      <c r="O14" s="8"/>
      <c r="P14" s="8"/>
      <c r="Q14" s="9"/>
    </row>
    <row r="15" spans="1:17" ht="42" customHeight="1" x14ac:dyDescent="0.2">
      <c r="A15" s="4">
        <v>11</v>
      </c>
      <c r="B15" s="4">
        <v>1</v>
      </c>
      <c r="C15" s="4">
        <v>2</v>
      </c>
      <c r="D15" s="5" t="s">
        <v>60</v>
      </c>
      <c r="E15" s="5" t="s">
        <v>67</v>
      </c>
      <c r="F15" s="6" t="s">
        <v>68</v>
      </c>
      <c r="G15" s="7" t="s">
        <v>69</v>
      </c>
      <c r="H15" s="7" t="s">
        <v>70</v>
      </c>
      <c r="I15" s="4" t="s">
        <v>43</v>
      </c>
      <c r="J15" s="4" t="s">
        <v>25</v>
      </c>
      <c r="K15" s="8" t="s">
        <v>26</v>
      </c>
      <c r="L15" s="8"/>
      <c r="M15" s="8"/>
      <c r="N15" s="8"/>
      <c r="O15" s="8"/>
      <c r="P15" s="8"/>
      <c r="Q15" s="9"/>
    </row>
    <row r="16" spans="1:17" ht="42" customHeight="1" x14ac:dyDescent="0.2">
      <c r="A16" s="4">
        <v>12</v>
      </c>
      <c r="B16" s="4">
        <v>1</v>
      </c>
      <c r="C16" s="4">
        <v>2</v>
      </c>
      <c r="D16" s="5" t="s">
        <v>60</v>
      </c>
      <c r="E16" s="5" t="s">
        <v>71</v>
      </c>
      <c r="F16" s="6" t="s">
        <v>72</v>
      </c>
      <c r="G16" s="7" t="s">
        <v>73</v>
      </c>
      <c r="H16" s="7" t="s">
        <v>74</v>
      </c>
      <c r="I16" s="4" t="s">
        <v>43</v>
      </c>
      <c r="J16" s="4" t="s">
        <v>25</v>
      </c>
      <c r="K16" s="8" t="s">
        <v>26</v>
      </c>
      <c r="L16" s="8"/>
      <c r="M16" s="8"/>
      <c r="N16" s="8"/>
      <c r="O16" s="8"/>
      <c r="P16" s="8"/>
      <c r="Q16" s="9"/>
    </row>
    <row r="17" spans="1:17" ht="42" customHeight="1" x14ac:dyDescent="0.2">
      <c r="A17" s="4">
        <v>13</v>
      </c>
      <c r="B17" s="4">
        <v>1</v>
      </c>
      <c r="C17" s="4">
        <v>2</v>
      </c>
      <c r="D17" s="5" t="s">
        <v>60</v>
      </c>
      <c r="E17" s="5" t="s">
        <v>75</v>
      </c>
      <c r="F17" s="6" t="s">
        <v>76</v>
      </c>
      <c r="G17" s="7" t="s">
        <v>77</v>
      </c>
      <c r="H17" s="7" t="s">
        <v>78</v>
      </c>
      <c r="I17" s="4" t="s">
        <v>43</v>
      </c>
      <c r="J17" s="4" t="s">
        <v>79</v>
      </c>
      <c r="K17" s="8" t="s">
        <v>26</v>
      </c>
      <c r="L17" s="8"/>
      <c r="M17" s="8"/>
      <c r="N17" s="8"/>
      <c r="O17" s="8"/>
      <c r="P17" s="8"/>
      <c r="Q17" s="9"/>
    </row>
    <row r="18" spans="1:17" ht="42" customHeight="1" x14ac:dyDescent="0.2">
      <c r="A18" s="4">
        <v>14</v>
      </c>
      <c r="B18" s="4">
        <v>1</v>
      </c>
      <c r="C18" s="4">
        <v>2</v>
      </c>
      <c r="D18" s="5" t="s">
        <v>60</v>
      </c>
      <c r="E18" s="5" t="s">
        <v>80</v>
      </c>
      <c r="F18" s="6" t="s">
        <v>81</v>
      </c>
      <c r="G18" s="7" t="s">
        <v>82</v>
      </c>
      <c r="H18" s="7" t="s">
        <v>83</v>
      </c>
      <c r="I18" s="4" t="s">
        <v>84</v>
      </c>
      <c r="J18" s="4" t="s">
        <v>85</v>
      </c>
      <c r="K18" s="8"/>
      <c r="L18" s="8"/>
      <c r="M18" s="8"/>
      <c r="N18" s="8"/>
      <c r="O18" s="8"/>
      <c r="P18" s="8"/>
      <c r="Q18" s="9"/>
    </row>
    <row r="19" spans="1:17" ht="42" customHeight="1" x14ac:dyDescent="0.2">
      <c r="A19" s="4">
        <v>15</v>
      </c>
      <c r="B19" s="4">
        <v>1</v>
      </c>
      <c r="C19" s="4">
        <v>3</v>
      </c>
      <c r="D19" s="5" t="s">
        <v>86</v>
      </c>
      <c r="E19" s="5" t="s">
        <v>87</v>
      </c>
      <c r="F19" s="6" t="s">
        <v>88</v>
      </c>
      <c r="G19" s="7" t="s">
        <v>89</v>
      </c>
      <c r="H19" s="7" t="s">
        <v>90</v>
      </c>
      <c r="I19" s="4" t="s">
        <v>24</v>
      </c>
      <c r="J19" s="4" t="s">
        <v>25</v>
      </c>
      <c r="K19" s="8" t="s">
        <v>26</v>
      </c>
      <c r="L19" s="8"/>
      <c r="M19" s="8"/>
      <c r="N19" s="8"/>
      <c r="O19" s="8"/>
      <c r="P19" s="8"/>
      <c r="Q19" s="9"/>
    </row>
    <row r="20" spans="1:17" ht="42" customHeight="1" x14ac:dyDescent="0.2">
      <c r="A20" s="4">
        <v>16</v>
      </c>
      <c r="B20" s="4">
        <v>1</v>
      </c>
      <c r="C20" s="4">
        <v>3</v>
      </c>
      <c r="D20" s="5" t="s">
        <v>86</v>
      </c>
      <c r="E20" s="5" t="s">
        <v>91</v>
      </c>
      <c r="F20" s="6" t="s">
        <v>92</v>
      </c>
      <c r="G20" s="7" t="s">
        <v>93</v>
      </c>
      <c r="H20" s="7" t="s">
        <v>94</v>
      </c>
      <c r="I20" s="4" t="s">
        <v>43</v>
      </c>
      <c r="J20" s="4" t="s">
        <v>25</v>
      </c>
      <c r="K20" s="8" t="s">
        <v>26</v>
      </c>
      <c r="L20" s="8"/>
      <c r="M20" s="8"/>
      <c r="N20" s="8"/>
      <c r="O20" s="8"/>
      <c r="P20" s="8"/>
      <c r="Q20" s="9"/>
    </row>
    <row r="21" spans="1:17" ht="42" customHeight="1" x14ac:dyDescent="0.2">
      <c r="A21" s="4">
        <v>17</v>
      </c>
      <c r="B21" s="4">
        <v>2</v>
      </c>
      <c r="C21" s="4">
        <v>3</v>
      </c>
      <c r="D21" s="5" t="s">
        <v>86</v>
      </c>
      <c r="E21" s="5" t="s">
        <v>95</v>
      </c>
      <c r="F21" s="6" t="s">
        <v>96</v>
      </c>
      <c r="G21" s="7" t="s">
        <v>97</v>
      </c>
      <c r="H21" s="7" t="s">
        <v>55</v>
      </c>
      <c r="I21" s="4" t="s">
        <v>43</v>
      </c>
      <c r="J21" s="4" t="s">
        <v>25</v>
      </c>
      <c r="K21" s="8"/>
      <c r="L21" s="8"/>
      <c r="M21" s="8"/>
      <c r="N21" s="8"/>
      <c r="O21" s="8"/>
      <c r="P21" s="8"/>
      <c r="Q21" s="9"/>
    </row>
    <row r="22" spans="1:17" ht="42" customHeight="1" x14ac:dyDescent="0.2">
      <c r="A22" s="4">
        <v>18</v>
      </c>
      <c r="B22" s="4">
        <v>2</v>
      </c>
      <c r="C22" s="4">
        <v>3</v>
      </c>
      <c r="D22" s="5" t="s">
        <v>86</v>
      </c>
      <c r="E22" s="5" t="s">
        <v>98</v>
      </c>
      <c r="F22" s="6" t="s">
        <v>99</v>
      </c>
      <c r="G22" s="7" t="s">
        <v>100</v>
      </c>
      <c r="H22" s="7" t="s">
        <v>35</v>
      </c>
      <c r="I22" s="4" t="s">
        <v>43</v>
      </c>
      <c r="J22" s="4" t="s">
        <v>25</v>
      </c>
      <c r="K22" s="8"/>
      <c r="L22" s="8"/>
      <c r="M22" s="8"/>
      <c r="N22" s="8"/>
      <c r="O22" s="8"/>
      <c r="P22" s="8"/>
      <c r="Q22" s="9"/>
    </row>
    <row r="23" spans="1:17" ht="42" customHeight="1" x14ac:dyDescent="0.2">
      <c r="A23" s="4">
        <v>19</v>
      </c>
      <c r="B23" s="4">
        <v>2</v>
      </c>
      <c r="C23" s="4">
        <v>3</v>
      </c>
      <c r="D23" s="5" t="s">
        <v>86</v>
      </c>
      <c r="E23" s="5" t="s">
        <v>101</v>
      </c>
      <c r="F23" s="6" t="s">
        <v>102</v>
      </c>
      <c r="G23" s="7" t="s">
        <v>103</v>
      </c>
      <c r="H23" s="7" t="s">
        <v>104</v>
      </c>
      <c r="I23" s="4" t="s">
        <v>24</v>
      </c>
      <c r="J23" s="4" t="s">
        <v>79</v>
      </c>
      <c r="K23" s="8"/>
      <c r="L23" s="8"/>
      <c r="M23" s="8"/>
      <c r="N23" s="8"/>
      <c r="O23" s="8"/>
      <c r="P23" s="8"/>
      <c r="Q23" s="9"/>
    </row>
    <row r="24" spans="1:17" ht="42" customHeight="1" x14ac:dyDescent="0.2">
      <c r="A24" s="4">
        <v>20</v>
      </c>
      <c r="B24" s="4">
        <v>2</v>
      </c>
      <c r="C24" s="4">
        <v>3</v>
      </c>
      <c r="D24" s="5" t="s">
        <v>86</v>
      </c>
      <c r="E24" s="5" t="s">
        <v>105</v>
      </c>
      <c r="F24" s="6" t="s">
        <v>106</v>
      </c>
      <c r="G24" s="7" t="s">
        <v>107</v>
      </c>
      <c r="H24" s="7" t="s">
        <v>108</v>
      </c>
      <c r="I24" s="4" t="s">
        <v>84</v>
      </c>
      <c r="J24" s="4" t="s">
        <v>85</v>
      </c>
      <c r="K24" s="8"/>
      <c r="L24" s="8"/>
      <c r="M24" s="8"/>
      <c r="N24" s="8"/>
      <c r="O24" s="8"/>
      <c r="P24" s="8"/>
      <c r="Q24" s="9"/>
    </row>
    <row r="25" spans="1:17" ht="42" customHeight="1" x14ac:dyDescent="0.2">
      <c r="A25" s="4">
        <v>21</v>
      </c>
      <c r="B25" s="4">
        <v>2</v>
      </c>
      <c r="C25" s="4">
        <v>3</v>
      </c>
      <c r="D25" s="5" t="s">
        <v>86</v>
      </c>
      <c r="E25" s="5" t="s">
        <v>109</v>
      </c>
      <c r="F25" s="6" t="s">
        <v>110</v>
      </c>
      <c r="G25" s="7" t="s">
        <v>111</v>
      </c>
      <c r="H25" s="7" t="s">
        <v>112</v>
      </c>
      <c r="I25" s="4" t="s">
        <v>84</v>
      </c>
      <c r="J25" s="4" t="s">
        <v>85</v>
      </c>
      <c r="K25" s="8"/>
      <c r="L25" s="8"/>
      <c r="M25" s="8"/>
      <c r="N25" s="8"/>
      <c r="O25" s="8"/>
      <c r="P25" s="8"/>
      <c r="Q25" s="9"/>
    </row>
    <row r="26" spans="1:17" ht="42" customHeight="1" x14ac:dyDescent="0.2">
      <c r="A26" s="4">
        <v>22</v>
      </c>
      <c r="B26" s="4">
        <v>2</v>
      </c>
      <c r="C26" s="4">
        <v>4</v>
      </c>
      <c r="D26" s="5" t="s">
        <v>113</v>
      </c>
      <c r="E26" s="5" t="s">
        <v>114</v>
      </c>
      <c r="F26" s="6" t="s">
        <v>115</v>
      </c>
      <c r="G26" s="7" t="s">
        <v>116</v>
      </c>
      <c r="H26" s="7" t="s">
        <v>35</v>
      </c>
      <c r="I26" s="4" t="s">
        <v>24</v>
      </c>
      <c r="J26" s="4" t="s">
        <v>25</v>
      </c>
      <c r="K26" s="8" t="s">
        <v>26</v>
      </c>
      <c r="L26" s="8"/>
      <c r="M26" s="8"/>
      <c r="N26" s="8"/>
      <c r="O26" s="8"/>
      <c r="P26" s="8"/>
      <c r="Q26" s="9"/>
    </row>
    <row r="27" spans="1:17" ht="42" customHeight="1" x14ac:dyDescent="0.2">
      <c r="A27" s="4">
        <v>23</v>
      </c>
      <c r="B27" s="4">
        <v>2</v>
      </c>
      <c r="C27" s="4">
        <v>4</v>
      </c>
      <c r="D27" s="5" t="s">
        <v>113</v>
      </c>
      <c r="E27" s="5" t="s">
        <v>117</v>
      </c>
      <c r="F27" s="6" t="s">
        <v>118</v>
      </c>
      <c r="G27" s="7" t="s">
        <v>119</v>
      </c>
      <c r="H27" s="7" t="s">
        <v>120</v>
      </c>
      <c r="I27" s="4" t="s">
        <v>43</v>
      </c>
      <c r="J27" s="4" t="s">
        <v>25</v>
      </c>
      <c r="K27" s="8" t="s">
        <v>26</v>
      </c>
      <c r="L27" s="8"/>
      <c r="M27" s="8"/>
      <c r="N27" s="8"/>
      <c r="O27" s="8"/>
      <c r="P27" s="8"/>
      <c r="Q27" s="9"/>
    </row>
    <row r="28" spans="1:17" ht="42" customHeight="1" x14ac:dyDescent="0.2">
      <c r="A28" s="4">
        <v>24</v>
      </c>
      <c r="B28" s="4">
        <v>2</v>
      </c>
      <c r="C28" s="4">
        <v>4</v>
      </c>
      <c r="D28" s="5" t="s">
        <v>113</v>
      </c>
      <c r="E28" s="5" t="s">
        <v>121</v>
      </c>
      <c r="F28" s="6" t="s">
        <v>122</v>
      </c>
      <c r="G28" s="7" t="s">
        <v>123</v>
      </c>
      <c r="H28" s="7" t="s">
        <v>124</v>
      </c>
      <c r="I28" s="4" t="s">
        <v>43</v>
      </c>
      <c r="J28" s="4" t="s">
        <v>25</v>
      </c>
      <c r="K28" s="8" t="s">
        <v>26</v>
      </c>
      <c r="L28" s="8"/>
      <c r="M28" s="8"/>
      <c r="N28" s="8"/>
      <c r="O28" s="8"/>
      <c r="P28" s="8"/>
      <c r="Q28" s="9"/>
    </row>
    <row r="29" spans="1:17" ht="42" customHeight="1" x14ac:dyDescent="0.2">
      <c r="A29" s="4">
        <v>25</v>
      </c>
      <c r="B29" s="4">
        <v>2</v>
      </c>
      <c r="C29" s="4">
        <v>4</v>
      </c>
      <c r="D29" s="5" t="s">
        <v>113</v>
      </c>
      <c r="E29" s="5" t="s">
        <v>125</v>
      </c>
      <c r="F29" s="6" t="s">
        <v>126</v>
      </c>
      <c r="G29" s="7" t="s">
        <v>127</v>
      </c>
      <c r="H29" s="7" t="s">
        <v>128</v>
      </c>
      <c r="I29" s="4" t="s">
        <v>43</v>
      </c>
      <c r="J29" s="4" t="s">
        <v>25</v>
      </c>
      <c r="K29" s="8" t="s">
        <v>26</v>
      </c>
      <c r="L29" s="8"/>
      <c r="M29" s="8"/>
      <c r="N29" s="8"/>
      <c r="O29" s="8"/>
      <c r="P29" s="8"/>
      <c r="Q29" s="9"/>
    </row>
    <row r="30" spans="1:17" ht="42" customHeight="1" x14ac:dyDescent="0.2">
      <c r="A30" s="4">
        <v>26</v>
      </c>
      <c r="B30" s="4">
        <v>2</v>
      </c>
      <c r="C30" s="4">
        <v>4</v>
      </c>
      <c r="D30" s="5" t="s">
        <v>113</v>
      </c>
      <c r="E30" s="5" t="s">
        <v>129</v>
      </c>
      <c r="F30" s="6" t="s">
        <v>130</v>
      </c>
      <c r="G30" s="7" t="s">
        <v>131</v>
      </c>
      <c r="H30" s="7" t="s">
        <v>132</v>
      </c>
      <c r="I30" s="4" t="s">
        <v>84</v>
      </c>
      <c r="J30" s="4" t="s">
        <v>85</v>
      </c>
      <c r="K30" s="8"/>
      <c r="L30" s="8"/>
      <c r="M30" s="8"/>
      <c r="N30" s="8"/>
      <c r="O30" s="8"/>
      <c r="P30" s="8"/>
      <c r="Q30" s="9"/>
    </row>
    <row r="31" spans="1:17" ht="42" customHeight="1" x14ac:dyDescent="0.2">
      <c r="A31" s="4">
        <v>27</v>
      </c>
      <c r="B31" s="4">
        <v>2</v>
      </c>
      <c r="C31" s="4">
        <v>5</v>
      </c>
      <c r="D31" s="5" t="s">
        <v>133</v>
      </c>
      <c r="E31" s="5" t="s">
        <v>133</v>
      </c>
      <c r="F31" s="6" t="s">
        <v>134</v>
      </c>
      <c r="G31" s="7" t="s">
        <v>135</v>
      </c>
      <c r="H31" s="7" t="s">
        <v>55</v>
      </c>
      <c r="I31" s="4" t="s">
        <v>24</v>
      </c>
      <c r="J31" s="4" t="s">
        <v>25</v>
      </c>
      <c r="K31" s="8" t="s">
        <v>26</v>
      </c>
      <c r="L31" s="8"/>
      <c r="M31" s="8"/>
      <c r="N31" s="8"/>
      <c r="O31" s="8"/>
      <c r="P31" s="8"/>
      <c r="Q31" s="9"/>
    </row>
    <row r="32" spans="1:17" ht="42" customHeight="1" x14ac:dyDescent="0.2">
      <c r="A32" s="4">
        <v>28</v>
      </c>
      <c r="B32" s="4">
        <v>2</v>
      </c>
      <c r="C32" s="4">
        <v>5</v>
      </c>
      <c r="D32" s="5" t="s">
        <v>133</v>
      </c>
      <c r="E32" s="5" t="s">
        <v>136</v>
      </c>
      <c r="F32" s="6" t="s">
        <v>137</v>
      </c>
      <c r="G32" s="7" t="s">
        <v>138</v>
      </c>
      <c r="H32" s="7" t="s">
        <v>35</v>
      </c>
      <c r="I32" s="4" t="s">
        <v>43</v>
      </c>
      <c r="J32" s="4" t="s">
        <v>25</v>
      </c>
      <c r="K32" s="8"/>
      <c r="L32" s="8"/>
      <c r="M32" s="8"/>
      <c r="N32" s="8"/>
      <c r="O32" s="8"/>
      <c r="P32" s="8"/>
      <c r="Q32" s="9"/>
    </row>
    <row r="33" spans="1:17" ht="42" customHeight="1" x14ac:dyDescent="0.2">
      <c r="A33" s="4">
        <v>29</v>
      </c>
      <c r="B33" s="4">
        <v>2</v>
      </c>
      <c r="C33" s="4">
        <v>5</v>
      </c>
      <c r="D33" s="5" t="s">
        <v>133</v>
      </c>
      <c r="E33" s="5" t="s">
        <v>139</v>
      </c>
      <c r="F33" s="6" t="s">
        <v>140</v>
      </c>
      <c r="G33" s="7" t="s">
        <v>141</v>
      </c>
      <c r="H33" s="7" t="s">
        <v>142</v>
      </c>
      <c r="I33" s="4" t="s">
        <v>43</v>
      </c>
      <c r="J33" s="4" t="s">
        <v>25</v>
      </c>
      <c r="K33" s="8"/>
      <c r="L33" s="8"/>
      <c r="M33" s="8"/>
      <c r="N33" s="8"/>
      <c r="O33" s="8"/>
      <c r="P33" s="8"/>
      <c r="Q33" s="9"/>
    </row>
    <row r="34" spans="1:17" ht="42" customHeight="1" x14ac:dyDescent="0.2">
      <c r="A34" s="4">
        <v>30</v>
      </c>
      <c r="B34" s="4">
        <v>2</v>
      </c>
      <c r="C34" s="4">
        <v>5</v>
      </c>
      <c r="D34" s="5" t="s">
        <v>133</v>
      </c>
      <c r="E34" s="5" t="s">
        <v>143</v>
      </c>
      <c r="F34" s="6" t="s">
        <v>144</v>
      </c>
      <c r="G34" s="7" t="s">
        <v>145</v>
      </c>
      <c r="H34" s="7" t="s">
        <v>55</v>
      </c>
      <c r="I34" s="4" t="s">
        <v>43</v>
      </c>
      <c r="J34" s="4" t="s">
        <v>25</v>
      </c>
      <c r="K34" s="8"/>
      <c r="L34" s="8"/>
      <c r="M34" s="8"/>
      <c r="N34" s="8"/>
      <c r="O34" s="8"/>
      <c r="P34" s="8"/>
      <c r="Q34" s="9"/>
    </row>
    <row r="35" spans="1:17" ht="42" customHeight="1" x14ac:dyDescent="0.2">
      <c r="A35" s="4">
        <v>31</v>
      </c>
      <c r="B35" s="4">
        <v>2</v>
      </c>
      <c r="C35" s="4">
        <v>5</v>
      </c>
      <c r="D35" s="5" t="s">
        <v>133</v>
      </c>
      <c r="E35" s="5" t="s">
        <v>146</v>
      </c>
      <c r="F35" s="6" t="s">
        <v>147</v>
      </c>
      <c r="G35" s="7" t="s">
        <v>148</v>
      </c>
      <c r="H35" s="7" t="s">
        <v>55</v>
      </c>
      <c r="I35" s="4" t="s">
        <v>43</v>
      </c>
      <c r="J35" s="4" t="s">
        <v>25</v>
      </c>
      <c r="K35" s="8"/>
      <c r="L35" s="8"/>
      <c r="M35" s="8"/>
      <c r="N35" s="8"/>
      <c r="O35" s="8"/>
      <c r="P35" s="8"/>
      <c r="Q35" s="9"/>
    </row>
    <row r="36" spans="1:17" ht="42" customHeight="1" x14ac:dyDescent="0.2">
      <c r="A36" s="4">
        <v>32</v>
      </c>
      <c r="B36" s="4">
        <v>2</v>
      </c>
      <c r="C36" s="4">
        <v>5</v>
      </c>
      <c r="D36" s="5" t="s">
        <v>133</v>
      </c>
      <c r="E36" s="5" t="s">
        <v>149</v>
      </c>
      <c r="F36" s="6" t="s">
        <v>150</v>
      </c>
      <c r="G36" s="7" t="s">
        <v>151</v>
      </c>
      <c r="H36" s="7" t="s">
        <v>152</v>
      </c>
      <c r="I36" s="4" t="s">
        <v>84</v>
      </c>
      <c r="J36" s="4" t="s">
        <v>85</v>
      </c>
      <c r="K36" s="8"/>
      <c r="L36" s="8"/>
      <c r="M36" s="8"/>
      <c r="N36" s="8"/>
      <c r="O36" s="8"/>
      <c r="P36" s="8"/>
      <c r="Q36" s="9"/>
    </row>
    <row r="37" spans="1:17" ht="42" customHeight="1" x14ac:dyDescent="0.2">
      <c r="A37" s="4">
        <v>33</v>
      </c>
      <c r="B37" s="4">
        <v>3</v>
      </c>
      <c r="C37" s="4">
        <v>6</v>
      </c>
      <c r="D37" s="5" t="s">
        <v>153</v>
      </c>
      <c r="E37" s="5" t="s">
        <v>154</v>
      </c>
      <c r="F37" s="6" t="s">
        <v>155</v>
      </c>
      <c r="G37" s="7" t="s">
        <v>156</v>
      </c>
      <c r="H37" s="7" t="s">
        <v>157</v>
      </c>
      <c r="I37" s="4" t="s">
        <v>24</v>
      </c>
      <c r="J37" s="4" t="s">
        <v>25</v>
      </c>
      <c r="K37" s="8" t="s">
        <v>26</v>
      </c>
      <c r="L37" s="8"/>
      <c r="M37" s="8"/>
      <c r="N37" s="8"/>
      <c r="O37" s="8"/>
      <c r="P37" s="8"/>
      <c r="Q37" s="9"/>
    </row>
    <row r="38" spans="1:17" ht="42" customHeight="1" x14ac:dyDescent="0.2">
      <c r="A38" s="4">
        <v>34</v>
      </c>
      <c r="B38" s="4">
        <v>3</v>
      </c>
      <c r="C38" s="4">
        <v>6</v>
      </c>
      <c r="D38" s="5" t="s">
        <v>153</v>
      </c>
      <c r="E38" s="5" t="s">
        <v>158</v>
      </c>
      <c r="F38" s="6" t="s">
        <v>159</v>
      </c>
      <c r="G38" s="7" t="s">
        <v>160</v>
      </c>
      <c r="H38" s="7" t="s">
        <v>161</v>
      </c>
      <c r="I38" s="4" t="s">
        <v>24</v>
      </c>
      <c r="J38" s="4" t="s">
        <v>25</v>
      </c>
      <c r="K38" s="8" t="s">
        <v>26</v>
      </c>
      <c r="L38" s="8"/>
      <c r="M38" s="8"/>
      <c r="N38" s="8"/>
      <c r="O38" s="8"/>
      <c r="P38" s="8"/>
      <c r="Q38" s="9"/>
    </row>
    <row r="39" spans="1:17" ht="42" customHeight="1" x14ac:dyDescent="0.2">
      <c r="A39" s="4">
        <v>35</v>
      </c>
      <c r="B39" s="4">
        <v>3</v>
      </c>
      <c r="C39" s="4">
        <v>6</v>
      </c>
      <c r="D39" s="5" t="s">
        <v>153</v>
      </c>
      <c r="E39" s="5" t="s">
        <v>162</v>
      </c>
      <c r="F39" s="6" t="s">
        <v>163</v>
      </c>
      <c r="G39" s="7" t="s">
        <v>164</v>
      </c>
      <c r="H39" s="7" t="s">
        <v>35</v>
      </c>
      <c r="I39" s="4" t="s">
        <v>24</v>
      </c>
      <c r="J39" s="4" t="s">
        <v>25</v>
      </c>
      <c r="K39" s="8" t="s">
        <v>26</v>
      </c>
      <c r="L39" s="8"/>
      <c r="M39" s="8"/>
      <c r="N39" s="8"/>
      <c r="O39" s="8"/>
      <c r="P39" s="8"/>
      <c r="Q39" s="9"/>
    </row>
    <row r="40" spans="1:17" ht="42" customHeight="1" x14ac:dyDescent="0.2">
      <c r="A40" s="4">
        <v>36</v>
      </c>
      <c r="B40" s="4">
        <v>3</v>
      </c>
      <c r="C40" s="4">
        <v>6</v>
      </c>
      <c r="D40" s="5" t="s">
        <v>153</v>
      </c>
      <c r="E40" s="5" t="s">
        <v>165</v>
      </c>
      <c r="F40" s="6" t="s">
        <v>166</v>
      </c>
      <c r="G40" s="7" t="s">
        <v>167</v>
      </c>
      <c r="H40" s="7" t="s">
        <v>168</v>
      </c>
      <c r="I40" s="4" t="s">
        <v>43</v>
      </c>
      <c r="J40" s="4" t="s">
        <v>25</v>
      </c>
      <c r="K40" s="8" t="s">
        <v>26</v>
      </c>
      <c r="L40" s="8"/>
      <c r="M40" s="8"/>
      <c r="N40" s="8"/>
      <c r="O40" s="8"/>
      <c r="P40" s="8"/>
      <c r="Q40" s="9"/>
    </row>
    <row r="41" spans="1:17" ht="42" customHeight="1" x14ac:dyDescent="0.2">
      <c r="A41" s="4">
        <v>37</v>
      </c>
      <c r="B41" s="4">
        <v>3</v>
      </c>
      <c r="C41" s="4">
        <v>6</v>
      </c>
      <c r="D41" s="5" t="s">
        <v>153</v>
      </c>
      <c r="E41" s="5" t="s">
        <v>169</v>
      </c>
      <c r="F41" s="6" t="s">
        <v>170</v>
      </c>
      <c r="G41" s="7" t="s">
        <v>171</v>
      </c>
      <c r="H41" s="7" t="s">
        <v>172</v>
      </c>
      <c r="I41" s="4" t="s">
        <v>43</v>
      </c>
      <c r="J41" s="4" t="s">
        <v>79</v>
      </c>
      <c r="K41" s="8"/>
      <c r="L41" s="8"/>
      <c r="M41" s="8"/>
      <c r="N41" s="8"/>
      <c r="O41" s="8"/>
      <c r="P41" s="8"/>
      <c r="Q41" s="9"/>
    </row>
    <row r="42" spans="1:17" ht="42" customHeight="1" x14ac:dyDescent="0.2">
      <c r="A42" s="4">
        <v>38</v>
      </c>
      <c r="B42" s="4">
        <v>3</v>
      </c>
      <c r="C42" s="4">
        <v>6</v>
      </c>
      <c r="D42" s="5" t="s">
        <v>153</v>
      </c>
      <c r="E42" s="5" t="s">
        <v>173</v>
      </c>
      <c r="F42" s="6" t="s">
        <v>174</v>
      </c>
      <c r="G42" s="7" t="s">
        <v>175</v>
      </c>
      <c r="H42" s="7" t="s">
        <v>176</v>
      </c>
      <c r="I42" s="4" t="s">
        <v>43</v>
      </c>
      <c r="J42" s="4" t="s">
        <v>25</v>
      </c>
      <c r="K42" s="8"/>
      <c r="L42" s="8"/>
      <c r="M42" s="8"/>
      <c r="N42" s="8"/>
      <c r="O42" s="8"/>
      <c r="P42" s="8"/>
      <c r="Q42" s="9"/>
    </row>
    <row r="43" spans="1:17" ht="42" customHeight="1" x14ac:dyDescent="0.2">
      <c r="A43" s="4">
        <v>39</v>
      </c>
      <c r="B43" s="4">
        <v>3</v>
      </c>
      <c r="C43" s="4">
        <v>7</v>
      </c>
      <c r="D43" s="5" t="s">
        <v>177</v>
      </c>
      <c r="E43" s="5" t="s">
        <v>178</v>
      </c>
      <c r="F43" s="6" t="s">
        <v>179</v>
      </c>
      <c r="G43" s="7" t="s">
        <v>180</v>
      </c>
      <c r="H43" s="7" t="s">
        <v>181</v>
      </c>
      <c r="I43" s="4" t="s">
        <v>24</v>
      </c>
      <c r="J43" s="4" t="s">
        <v>25</v>
      </c>
      <c r="K43" s="8" t="s">
        <v>26</v>
      </c>
      <c r="L43" s="8"/>
      <c r="M43" s="8"/>
      <c r="N43" s="8"/>
      <c r="O43" s="8"/>
      <c r="P43" s="8"/>
      <c r="Q43" s="9"/>
    </row>
    <row r="44" spans="1:17" ht="42" customHeight="1" x14ac:dyDescent="0.2">
      <c r="A44" s="4">
        <v>40</v>
      </c>
      <c r="B44" s="4">
        <v>3</v>
      </c>
      <c r="C44" s="4">
        <v>7</v>
      </c>
      <c r="D44" s="5" t="s">
        <v>177</v>
      </c>
      <c r="E44" s="5" t="s">
        <v>182</v>
      </c>
      <c r="F44" s="6" t="s">
        <v>183</v>
      </c>
      <c r="G44" s="7" t="s">
        <v>184</v>
      </c>
      <c r="H44" s="7" t="s">
        <v>94</v>
      </c>
      <c r="I44" s="4" t="s">
        <v>24</v>
      </c>
      <c r="J44" s="4" t="s">
        <v>25</v>
      </c>
      <c r="K44" s="8" t="s">
        <v>26</v>
      </c>
      <c r="L44" s="8"/>
      <c r="M44" s="8"/>
      <c r="N44" s="8"/>
      <c r="O44" s="8"/>
      <c r="P44" s="8"/>
      <c r="Q44" s="9"/>
    </row>
    <row r="45" spans="1:17" ht="42" customHeight="1" x14ac:dyDescent="0.2">
      <c r="A45" s="4">
        <v>41</v>
      </c>
      <c r="B45" s="4">
        <v>3</v>
      </c>
      <c r="C45" s="4">
        <v>7</v>
      </c>
      <c r="D45" s="5" t="s">
        <v>177</v>
      </c>
      <c r="E45" s="5" t="s">
        <v>185</v>
      </c>
      <c r="F45" s="6" t="s">
        <v>186</v>
      </c>
      <c r="G45" s="7" t="s">
        <v>187</v>
      </c>
      <c r="H45" s="7" t="s">
        <v>35</v>
      </c>
      <c r="I45" s="4" t="s">
        <v>24</v>
      </c>
      <c r="J45" s="4" t="s">
        <v>79</v>
      </c>
      <c r="K45" s="8" t="s">
        <v>26</v>
      </c>
      <c r="L45" s="8"/>
      <c r="M45" s="8"/>
      <c r="N45" s="8"/>
      <c r="O45" s="8"/>
      <c r="P45" s="8"/>
      <c r="Q45" s="9"/>
    </row>
    <row r="46" spans="1:17" ht="42" customHeight="1" x14ac:dyDescent="0.2">
      <c r="A46" s="4">
        <v>42</v>
      </c>
      <c r="B46" s="4">
        <v>3</v>
      </c>
      <c r="C46" s="4">
        <v>7</v>
      </c>
      <c r="D46" s="5" t="s">
        <v>177</v>
      </c>
      <c r="E46" s="5" t="s">
        <v>188</v>
      </c>
      <c r="F46" s="6" t="s">
        <v>189</v>
      </c>
      <c r="G46" s="7" t="s">
        <v>184</v>
      </c>
      <c r="H46" s="7" t="s">
        <v>35</v>
      </c>
      <c r="I46" s="4" t="s">
        <v>24</v>
      </c>
      <c r="J46" s="4" t="s">
        <v>79</v>
      </c>
      <c r="K46" s="8" t="s">
        <v>26</v>
      </c>
      <c r="L46" s="8"/>
      <c r="M46" s="8"/>
      <c r="N46" s="8"/>
      <c r="O46" s="8"/>
      <c r="P46" s="8"/>
      <c r="Q46" s="9"/>
    </row>
    <row r="47" spans="1:17" ht="42" customHeight="1" x14ac:dyDescent="0.2">
      <c r="A47" s="4">
        <v>43</v>
      </c>
      <c r="B47" s="4">
        <v>3</v>
      </c>
      <c r="C47" s="4">
        <v>7</v>
      </c>
      <c r="D47" s="5" t="s">
        <v>177</v>
      </c>
      <c r="E47" s="5" t="s">
        <v>190</v>
      </c>
      <c r="F47" s="6" t="s">
        <v>191</v>
      </c>
      <c r="G47" s="7" t="s">
        <v>184</v>
      </c>
      <c r="H47" s="7" t="s">
        <v>192</v>
      </c>
      <c r="I47" s="4" t="s">
        <v>43</v>
      </c>
      <c r="J47" s="4" t="s">
        <v>25</v>
      </c>
      <c r="K47" s="8" t="s">
        <v>26</v>
      </c>
      <c r="L47" s="8"/>
      <c r="M47" s="8"/>
      <c r="N47" s="8"/>
      <c r="O47" s="8"/>
      <c r="P47" s="8"/>
      <c r="Q47" s="9"/>
    </row>
    <row r="48" spans="1:17" ht="42" customHeight="1" x14ac:dyDescent="0.2">
      <c r="A48" s="4">
        <v>44</v>
      </c>
      <c r="B48" s="4">
        <v>3</v>
      </c>
      <c r="C48" s="4">
        <v>7</v>
      </c>
      <c r="D48" s="5" t="s">
        <v>177</v>
      </c>
      <c r="E48" s="5" t="s">
        <v>193</v>
      </c>
      <c r="F48" s="6" t="s">
        <v>194</v>
      </c>
      <c r="G48" s="7" t="s">
        <v>195</v>
      </c>
      <c r="H48" s="7" t="s">
        <v>196</v>
      </c>
      <c r="I48" s="4" t="s">
        <v>43</v>
      </c>
      <c r="J48" s="4" t="s">
        <v>25</v>
      </c>
      <c r="K48" s="8" t="s">
        <v>26</v>
      </c>
      <c r="L48" s="8"/>
      <c r="M48" s="8"/>
      <c r="N48" s="8"/>
      <c r="O48" s="8"/>
      <c r="P48" s="8"/>
      <c r="Q48" s="9"/>
    </row>
    <row r="49" spans="1:17" ht="42" customHeight="1" x14ac:dyDescent="0.2">
      <c r="A49" s="4">
        <v>45</v>
      </c>
      <c r="B49" s="4">
        <v>3</v>
      </c>
      <c r="C49" s="4">
        <v>7</v>
      </c>
      <c r="D49" s="5" t="s">
        <v>177</v>
      </c>
      <c r="E49" s="5" t="s">
        <v>197</v>
      </c>
      <c r="F49" s="6" t="s">
        <v>198</v>
      </c>
      <c r="G49" s="7" t="s">
        <v>199</v>
      </c>
      <c r="H49" s="7" t="s">
        <v>83</v>
      </c>
      <c r="I49" s="4" t="s">
        <v>43</v>
      </c>
      <c r="J49" s="4" t="s">
        <v>25</v>
      </c>
      <c r="K49" s="8" t="s">
        <v>26</v>
      </c>
      <c r="L49" s="8"/>
      <c r="M49" s="8"/>
      <c r="N49" s="8"/>
      <c r="O49" s="8"/>
      <c r="P49" s="8"/>
      <c r="Q49" s="9"/>
    </row>
    <row r="50" spans="1:17" ht="42" customHeight="1" x14ac:dyDescent="0.2">
      <c r="A50" s="4">
        <v>46</v>
      </c>
      <c r="B50" s="4">
        <v>3</v>
      </c>
      <c r="C50" s="4">
        <v>7</v>
      </c>
      <c r="D50" s="5" t="s">
        <v>177</v>
      </c>
      <c r="E50" s="5" t="s">
        <v>200</v>
      </c>
      <c r="F50" s="6" t="s">
        <v>201</v>
      </c>
      <c r="G50" s="7" t="s">
        <v>202</v>
      </c>
      <c r="H50" s="7" t="s">
        <v>203</v>
      </c>
      <c r="I50" s="4" t="s">
        <v>43</v>
      </c>
      <c r="J50" s="4" t="s">
        <v>25</v>
      </c>
      <c r="K50" s="8" t="s">
        <v>26</v>
      </c>
      <c r="L50" s="8"/>
      <c r="M50" s="8"/>
      <c r="N50" s="8"/>
      <c r="O50" s="8"/>
      <c r="P50" s="8"/>
      <c r="Q50" s="9"/>
    </row>
    <row r="51" spans="1:17" ht="42" customHeight="1" x14ac:dyDescent="0.2">
      <c r="A51" s="4">
        <v>47</v>
      </c>
      <c r="B51" s="4">
        <v>3</v>
      </c>
      <c r="C51" s="4">
        <v>7</v>
      </c>
      <c r="D51" s="5" t="s">
        <v>177</v>
      </c>
      <c r="E51" s="5" t="s">
        <v>204</v>
      </c>
      <c r="F51" s="6" t="s">
        <v>205</v>
      </c>
      <c r="G51" s="7" t="s">
        <v>206</v>
      </c>
      <c r="H51" s="7" t="s">
        <v>142</v>
      </c>
      <c r="I51" s="4" t="s">
        <v>43</v>
      </c>
      <c r="J51" s="4" t="s">
        <v>25</v>
      </c>
      <c r="K51" s="8"/>
      <c r="L51" s="8"/>
      <c r="M51" s="8"/>
      <c r="N51" s="8"/>
      <c r="O51" s="8"/>
      <c r="P51" s="8"/>
      <c r="Q51" s="9"/>
    </row>
    <row r="52" spans="1:17" ht="42" customHeight="1" x14ac:dyDescent="0.2">
      <c r="A52" s="4">
        <v>48</v>
      </c>
      <c r="B52" s="4">
        <v>3</v>
      </c>
      <c r="C52" s="4">
        <v>7</v>
      </c>
      <c r="D52" s="5" t="s">
        <v>177</v>
      </c>
      <c r="E52" s="5" t="s">
        <v>207</v>
      </c>
      <c r="F52" s="6" t="s">
        <v>208</v>
      </c>
      <c r="G52" s="7" t="s">
        <v>209</v>
      </c>
      <c r="H52" s="7" t="s">
        <v>210</v>
      </c>
      <c r="I52" s="4" t="s">
        <v>84</v>
      </c>
      <c r="J52" s="4" t="s">
        <v>85</v>
      </c>
      <c r="K52" s="8"/>
      <c r="L52" s="8"/>
      <c r="M52" s="8"/>
      <c r="N52" s="8"/>
      <c r="O52" s="8"/>
      <c r="P52" s="8"/>
      <c r="Q52" s="9"/>
    </row>
    <row r="53" spans="1:17" ht="42" customHeight="1" x14ac:dyDescent="0.2">
      <c r="A53" s="4">
        <v>49</v>
      </c>
      <c r="B53" s="4">
        <v>4</v>
      </c>
      <c r="C53" s="4">
        <v>8</v>
      </c>
      <c r="D53" s="5" t="s">
        <v>211</v>
      </c>
      <c r="E53" s="5" t="s">
        <v>212</v>
      </c>
      <c r="F53" s="6" t="s">
        <v>213</v>
      </c>
      <c r="G53" s="7" t="s">
        <v>214</v>
      </c>
      <c r="H53" s="7" t="s">
        <v>90</v>
      </c>
      <c r="I53" s="4" t="s">
        <v>43</v>
      </c>
      <c r="J53" s="4" t="s">
        <v>25</v>
      </c>
      <c r="K53" s="8"/>
      <c r="L53" s="8"/>
      <c r="M53" s="8"/>
      <c r="N53" s="8"/>
      <c r="O53" s="8"/>
      <c r="P53" s="8"/>
      <c r="Q53" s="9"/>
    </row>
    <row r="54" spans="1:17" ht="42" customHeight="1" x14ac:dyDescent="0.2">
      <c r="A54" s="4">
        <v>50</v>
      </c>
      <c r="B54" s="4">
        <v>4</v>
      </c>
      <c r="C54" s="4">
        <v>8</v>
      </c>
      <c r="D54" s="5" t="s">
        <v>211</v>
      </c>
      <c r="E54" s="5" t="s">
        <v>215</v>
      </c>
      <c r="F54" s="6" t="s">
        <v>216</v>
      </c>
      <c r="G54" s="7" t="s">
        <v>217</v>
      </c>
      <c r="H54" s="7" t="s">
        <v>218</v>
      </c>
      <c r="I54" s="4" t="s">
        <v>43</v>
      </c>
      <c r="J54" s="4" t="s">
        <v>25</v>
      </c>
      <c r="K54" s="8"/>
      <c r="L54" s="8"/>
      <c r="M54" s="8"/>
      <c r="N54" s="8"/>
      <c r="O54" s="8"/>
      <c r="P54" s="8"/>
      <c r="Q54" s="9"/>
    </row>
    <row r="55" spans="1:17" ht="42" customHeight="1" x14ac:dyDescent="0.2">
      <c r="A55" s="4">
        <v>51</v>
      </c>
      <c r="B55" s="4">
        <v>4</v>
      </c>
      <c r="C55" s="4">
        <v>8</v>
      </c>
      <c r="D55" s="5" t="s">
        <v>211</v>
      </c>
      <c r="E55" s="5" t="s">
        <v>219</v>
      </c>
      <c r="F55" s="6" t="s">
        <v>220</v>
      </c>
      <c r="G55" s="7" t="s">
        <v>221</v>
      </c>
      <c r="H55" s="7" t="s">
        <v>222</v>
      </c>
      <c r="I55" s="4" t="s">
        <v>43</v>
      </c>
      <c r="J55" s="4" t="s">
        <v>25</v>
      </c>
      <c r="K55" s="8"/>
      <c r="L55" s="8"/>
      <c r="M55" s="8"/>
      <c r="N55" s="8"/>
      <c r="O55" s="8"/>
      <c r="P55" s="8"/>
      <c r="Q55" s="9"/>
    </row>
    <row r="56" spans="1:17" ht="42" customHeight="1" x14ac:dyDescent="0.2">
      <c r="A56" s="4">
        <v>52</v>
      </c>
      <c r="B56" s="4">
        <v>4</v>
      </c>
      <c r="C56" s="4">
        <v>8</v>
      </c>
      <c r="D56" s="5" t="s">
        <v>211</v>
      </c>
      <c r="E56" s="5" t="s">
        <v>223</v>
      </c>
      <c r="F56" s="6" t="s">
        <v>224</v>
      </c>
      <c r="G56" s="7" t="s">
        <v>225</v>
      </c>
      <c r="H56" s="7" t="s">
        <v>226</v>
      </c>
      <c r="I56" s="4" t="s">
        <v>84</v>
      </c>
      <c r="J56" s="4" t="s">
        <v>25</v>
      </c>
      <c r="K56" s="8"/>
      <c r="L56" s="8"/>
      <c r="M56" s="8"/>
      <c r="N56" s="8"/>
      <c r="O56" s="8"/>
      <c r="P56" s="8"/>
      <c r="Q56" s="9"/>
    </row>
    <row r="57" spans="1:17" ht="42" customHeight="1" x14ac:dyDescent="0.2">
      <c r="A57" s="4">
        <v>53</v>
      </c>
      <c r="B57" s="4">
        <v>4</v>
      </c>
      <c r="C57" s="4">
        <v>8</v>
      </c>
      <c r="D57" s="5" t="s">
        <v>211</v>
      </c>
      <c r="E57" s="5" t="s">
        <v>227</v>
      </c>
      <c r="F57" s="6" t="s">
        <v>228</v>
      </c>
      <c r="G57" s="7" t="s">
        <v>229</v>
      </c>
      <c r="H57" s="7" t="s">
        <v>230</v>
      </c>
      <c r="I57" s="4" t="s">
        <v>84</v>
      </c>
      <c r="J57" s="4" t="s">
        <v>85</v>
      </c>
      <c r="K57" s="8"/>
      <c r="L57" s="8"/>
      <c r="M57" s="8"/>
      <c r="N57" s="8"/>
      <c r="O57" s="8"/>
      <c r="P57" s="8"/>
      <c r="Q57" s="9"/>
    </row>
    <row r="58" spans="1:17" ht="42" customHeight="1" x14ac:dyDescent="0.2">
      <c r="A58" s="4">
        <v>54</v>
      </c>
      <c r="B58" s="4">
        <v>4</v>
      </c>
      <c r="C58" s="4">
        <v>9</v>
      </c>
      <c r="D58" s="5" t="s">
        <v>231</v>
      </c>
      <c r="E58" s="5" t="s">
        <v>232</v>
      </c>
      <c r="F58" s="6" t="s">
        <v>233</v>
      </c>
      <c r="G58" s="7" t="s">
        <v>234</v>
      </c>
      <c r="H58" s="7" t="s">
        <v>59</v>
      </c>
      <c r="I58" s="4" t="s">
        <v>43</v>
      </c>
      <c r="J58" s="4" t="s">
        <v>25</v>
      </c>
      <c r="K58" s="8"/>
      <c r="L58" s="8"/>
      <c r="M58" s="8"/>
      <c r="N58" s="8"/>
      <c r="O58" s="8"/>
      <c r="P58" s="8"/>
      <c r="Q58" s="9"/>
    </row>
    <row r="59" spans="1:17" ht="42" customHeight="1" x14ac:dyDescent="0.2">
      <c r="A59" s="4">
        <v>55</v>
      </c>
      <c r="B59" s="4">
        <v>4</v>
      </c>
      <c r="C59" s="4">
        <v>9</v>
      </c>
      <c r="D59" s="5" t="s">
        <v>231</v>
      </c>
      <c r="E59" s="5" t="s">
        <v>235</v>
      </c>
      <c r="F59" s="6" t="s">
        <v>236</v>
      </c>
      <c r="G59" s="7" t="s">
        <v>237</v>
      </c>
      <c r="H59" s="7" t="s">
        <v>238</v>
      </c>
      <c r="I59" s="4" t="s">
        <v>43</v>
      </c>
      <c r="J59" s="4" t="s">
        <v>25</v>
      </c>
      <c r="K59" s="8"/>
      <c r="L59" s="8"/>
      <c r="M59" s="8"/>
      <c r="N59" s="8"/>
      <c r="O59" s="8"/>
      <c r="P59" s="8"/>
      <c r="Q59" s="9"/>
    </row>
    <row r="60" spans="1:17" ht="42" customHeight="1" x14ac:dyDescent="0.2">
      <c r="A60" s="4">
        <v>56</v>
      </c>
      <c r="B60" s="4">
        <v>4</v>
      </c>
      <c r="C60" s="4">
        <v>9</v>
      </c>
      <c r="D60" s="5" t="s">
        <v>231</v>
      </c>
      <c r="E60" s="5" t="s">
        <v>239</v>
      </c>
      <c r="F60" s="6" t="s">
        <v>240</v>
      </c>
      <c r="G60" s="7" t="s">
        <v>241</v>
      </c>
      <c r="H60" s="7" t="s">
        <v>83</v>
      </c>
      <c r="I60" s="4" t="s">
        <v>43</v>
      </c>
      <c r="J60" s="4" t="s">
        <v>79</v>
      </c>
      <c r="K60" s="8"/>
      <c r="L60" s="8"/>
      <c r="M60" s="8"/>
      <c r="N60" s="8"/>
      <c r="O60" s="8"/>
      <c r="P60" s="8"/>
      <c r="Q60" s="9"/>
    </row>
    <row r="61" spans="1:17" ht="42" customHeight="1" x14ac:dyDescent="0.2">
      <c r="A61" s="4">
        <v>57</v>
      </c>
      <c r="B61" s="4">
        <v>4</v>
      </c>
      <c r="C61" s="4">
        <v>9</v>
      </c>
      <c r="D61" s="5" t="s">
        <v>231</v>
      </c>
      <c r="E61" s="5" t="s">
        <v>242</v>
      </c>
      <c r="F61" s="6" t="s">
        <v>243</v>
      </c>
      <c r="G61" s="7" t="s">
        <v>244</v>
      </c>
      <c r="H61" s="7" t="s">
        <v>55</v>
      </c>
      <c r="I61" s="4" t="s">
        <v>43</v>
      </c>
      <c r="J61" s="4" t="s">
        <v>25</v>
      </c>
      <c r="K61" s="8"/>
      <c r="L61" s="8"/>
      <c r="M61" s="8"/>
      <c r="N61" s="8"/>
      <c r="O61" s="8"/>
      <c r="P61" s="8"/>
      <c r="Q61" s="9"/>
    </row>
    <row r="62" spans="1:17" ht="42" customHeight="1" x14ac:dyDescent="0.2">
      <c r="A62" s="4">
        <v>58</v>
      </c>
      <c r="B62" s="4">
        <v>4</v>
      </c>
      <c r="C62" s="4">
        <v>9</v>
      </c>
      <c r="D62" s="5" t="s">
        <v>231</v>
      </c>
      <c r="E62" s="5" t="s">
        <v>245</v>
      </c>
      <c r="F62" s="6" t="s">
        <v>246</v>
      </c>
      <c r="G62" s="7" t="s">
        <v>247</v>
      </c>
      <c r="H62" s="7" t="s">
        <v>35</v>
      </c>
      <c r="I62" s="4" t="s">
        <v>43</v>
      </c>
      <c r="J62" s="4" t="s">
        <v>25</v>
      </c>
      <c r="K62" s="8"/>
      <c r="L62" s="8"/>
      <c r="M62" s="8"/>
      <c r="N62" s="8"/>
      <c r="O62" s="8"/>
      <c r="P62" s="8"/>
      <c r="Q62" s="9"/>
    </row>
    <row r="63" spans="1:17" ht="42" customHeight="1" x14ac:dyDescent="0.2">
      <c r="A63" s="4">
        <v>59</v>
      </c>
      <c r="B63" s="4">
        <v>4</v>
      </c>
      <c r="C63" s="4">
        <v>9</v>
      </c>
      <c r="D63" s="5" t="s">
        <v>231</v>
      </c>
      <c r="E63" s="5" t="s">
        <v>248</v>
      </c>
      <c r="F63" s="6" t="s">
        <v>249</v>
      </c>
      <c r="G63" s="7" t="s">
        <v>250</v>
      </c>
      <c r="H63" s="7" t="s">
        <v>251</v>
      </c>
      <c r="I63" s="4" t="s">
        <v>43</v>
      </c>
      <c r="J63" s="4" t="s">
        <v>25</v>
      </c>
      <c r="K63" s="8"/>
      <c r="L63" s="8"/>
      <c r="M63" s="8"/>
      <c r="N63" s="8"/>
      <c r="O63" s="8"/>
      <c r="P63" s="8"/>
      <c r="Q63" s="9"/>
    </row>
    <row r="64" spans="1:17" ht="42" customHeight="1" x14ac:dyDescent="0.2">
      <c r="A64" s="4">
        <v>60</v>
      </c>
      <c r="B64" s="4">
        <v>4</v>
      </c>
      <c r="C64" s="4">
        <v>9</v>
      </c>
      <c r="D64" s="5" t="s">
        <v>231</v>
      </c>
      <c r="E64" s="5" t="s">
        <v>252</v>
      </c>
      <c r="F64" s="6" t="s">
        <v>253</v>
      </c>
      <c r="G64" s="7" t="s">
        <v>254</v>
      </c>
      <c r="H64" s="7" t="s">
        <v>255</v>
      </c>
      <c r="I64" s="4" t="s">
        <v>43</v>
      </c>
      <c r="J64" s="4" t="s">
        <v>79</v>
      </c>
      <c r="K64" s="8"/>
      <c r="L64" s="8"/>
      <c r="M64" s="8"/>
      <c r="N64" s="8"/>
      <c r="O64" s="8"/>
      <c r="P64" s="8"/>
      <c r="Q64" s="9"/>
    </row>
    <row r="65" spans="1:17" ht="42" customHeight="1" x14ac:dyDescent="0.2">
      <c r="A65" s="4">
        <v>61</v>
      </c>
      <c r="B65" s="4">
        <v>4</v>
      </c>
      <c r="C65" s="4">
        <v>9</v>
      </c>
      <c r="D65" s="5" t="s">
        <v>231</v>
      </c>
      <c r="E65" s="5" t="s">
        <v>256</v>
      </c>
      <c r="F65" s="6" t="s">
        <v>257</v>
      </c>
      <c r="G65" s="7" t="s">
        <v>258</v>
      </c>
      <c r="H65" s="7" t="s">
        <v>90</v>
      </c>
      <c r="I65" s="4" t="s">
        <v>84</v>
      </c>
      <c r="J65" s="4" t="s">
        <v>85</v>
      </c>
      <c r="K65" s="8"/>
      <c r="L65" s="8"/>
      <c r="M65" s="8"/>
      <c r="N65" s="8"/>
      <c r="O65" s="8"/>
      <c r="P65" s="8"/>
      <c r="Q65" s="9"/>
    </row>
    <row r="66" spans="1:17" ht="42" customHeight="1" x14ac:dyDescent="0.2">
      <c r="A66" s="4">
        <v>62</v>
      </c>
      <c r="B66" s="4">
        <v>4</v>
      </c>
      <c r="C66" s="4">
        <v>10</v>
      </c>
      <c r="D66" s="5" t="s">
        <v>259</v>
      </c>
      <c r="E66" s="5" t="s">
        <v>260</v>
      </c>
      <c r="F66" s="6" t="s">
        <v>261</v>
      </c>
      <c r="G66" s="7" t="s">
        <v>262</v>
      </c>
      <c r="H66" s="7" t="s">
        <v>263</v>
      </c>
      <c r="I66" s="4" t="s">
        <v>43</v>
      </c>
      <c r="J66" s="4" t="s">
        <v>25</v>
      </c>
      <c r="K66" s="8"/>
      <c r="L66" s="8"/>
      <c r="M66" s="8"/>
      <c r="N66" s="8"/>
      <c r="O66" s="8"/>
      <c r="P66" s="8"/>
      <c r="Q66" s="9"/>
    </row>
    <row r="67" spans="1:17" ht="42" customHeight="1" x14ac:dyDescent="0.2">
      <c r="A67" s="4">
        <v>63</v>
      </c>
      <c r="B67" s="4">
        <v>4</v>
      </c>
      <c r="C67" s="4">
        <v>10</v>
      </c>
      <c r="D67" s="5" t="s">
        <v>259</v>
      </c>
      <c r="E67" s="5" t="s">
        <v>264</v>
      </c>
      <c r="F67" s="6" t="s">
        <v>265</v>
      </c>
      <c r="G67" s="7" t="s">
        <v>266</v>
      </c>
      <c r="H67" s="7" t="s">
        <v>267</v>
      </c>
      <c r="I67" s="4" t="s">
        <v>43</v>
      </c>
      <c r="J67" s="4" t="s">
        <v>25</v>
      </c>
      <c r="K67" s="8"/>
      <c r="L67" s="8"/>
      <c r="M67" s="8"/>
      <c r="N67" s="8"/>
      <c r="O67" s="8"/>
      <c r="P67" s="8"/>
      <c r="Q67" s="9"/>
    </row>
    <row r="68" spans="1:17" ht="42" customHeight="1" x14ac:dyDescent="0.2">
      <c r="A68" s="4">
        <v>64</v>
      </c>
      <c r="B68" s="4">
        <v>4</v>
      </c>
      <c r="C68" s="4">
        <v>10</v>
      </c>
      <c r="D68" s="5" t="s">
        <v>259</v>
      </c>
      <c r="E68" s="5" t="s">
        <v>268</v>
      </c>
      <c r="F68" s="6" t="s">
        <v>269</v>
      </c>
      <c r="G68" s="7" t="s">
        <v>270</v>
      </c>
      <c r="H68" s="7" t="s">
        <v>203</v>
      </c>
      <c r="I68" s="4" t="s">
        <v>24</v>
      </c>
      <c r="J68" s="4" t="s">
        <v>25</v>
      </c>
      <c r="K68" s="8"/>
      <c r="L68" s="8"/>
      <c r="M68" s="8"/>
      <c r="N68" s="8"/>
      <c r="O68" s="8"/>
      <c r="P68" s="8"/>
      <c r="Q68" s="9"/>
    </row>
    <row r="69" spans="1:17" ht="42" customHeight="1" x14ac:dyDescent="0.2">
      <c r="A69" s="4">
        <v>65</v>
      </c>
      <c r="B69" s="4">
        <v>5</v>
      </c>
      <c r="C69" s="4">
        <v>10</v>
      </c>
      <c r="D69" s="5" t="s">
        <v>259</v>
      </c>
      <c r="E69" s="5" t="s">
        <v>271</v>
      </c>
      <c r="F69" s="6" t="s">
        <v>272</v>
      </c>
      <c r="G69" s="7" t="s">
        <v>270</v>
      </c>
      <c r="H69" s="7" t="s">
        <v>59</v>
      </c>
      <c r="I69" s="4" t="s">
        <v>43</v>
      </c>
      <c r="J69" s="4" t="s">
        <v>25</v>
      </c>
      <c r="K69" s="8"/>
      <c r="L69" s="8"/>
      <c r="M69" s="8"/>
      <c r="N69" s="8"/>
      <c r="O69" s="8"/>
      <c r="P69" s="8"/>
      <c r="Q69" s="9"/>
    </row>
    <row r="70" spans="1:17" ht="42" customHeight="1" x14ac:dyDescent="0.2">
      <c r="A70" s="4">
        <v>66</v>
      </c>
      <c r="B70" s="4">
        <v>5</v>
      </c>
      <c r="C70" s="4">
        <v>10</v>
      </c>
      <c r="D70" s="5" t="s">
        <v>259</v>
      </c>
      <c r="E70" s="5" t="s">
        <v>273</v>
      </c>
      <c r="F70" s="6" t="s">
        <v>274</v>
      </c>
      <c r="G70" s="7" t="s">
        <v>275</v>
      </c>
      <c r="H70" s="7" t="s">
        <v>142</v>
      </c>
      <c r="I70" s="4" t="s">
        <v>43</v>
      </c>
      <c r="J70" s="4" t="s">
        <v>25</v>
      </c>
      <c r="K70" s="8"/>
      <c r="L70" s="8"/>
      <c r="M70" s="8"/>
      <c r="N70" s="8"/>
      <c r="O70" s="8"/>
      <c r="P70" s="8"/>
      <c r="Q70" s="9"/>
    </row>
    <row r="71" spans="1:17" ht="42" customHeight="1" x14ac:dyDescent="0.2">
      <c r="A71" s="4">
        <v>67</v>
      </c>
      <c r="B71" s="4">
        <v>5</v>
      </c>
      <c r="C71" s="4">
        <v>11</v>
      </c>
      <c r="D71" s="5" t="s">
        <v>276</v>
      </c>
      <c r="E71" s="5" t="s">
        <v>277</v>
      </c>
      <c r="F71" s="6" t="s">
        <v>278</v>
      </c>
      <c r="G71" s="7" t="s">
        <v>279</v>
      </c>
      <c r="H71" s="7" t="s">
        <v>94</v>
      </c>
      <c r="I71" s="4" t="s">
        <v>24</v>
      </c>
      <c r="J71" s="4" t="s">
        <v>25</v>
      </c>
      <c r="K71" s="8"/>
      <c r="L71" s="8"/>
      <c r="M71" s="8"/>
      <c r="N71" s="8"/>
      <c r="O71" s="8"/>
      <c r="P71" s="8"/>
      <c r="Q71" s="9"/>
    </row>
    <row r="72" spans="1:17" ht="42" customHeight="1" x14ac:dyDescent="0.2">
      <c r="A72" s="4">
        <v>68</v>
      </c>
      <c r="B72" s="4">
        <v>5</v>
      </c>
      <c r="C72" s="4">
        <v>11</v>
      </c>
      <c r="D72" s="5" t="s">
        <v>276</v>
      </c>
      <c r="E72" s="5" t="s">
        <v>280</v>
      </c>
      <c r="F72" s="6" t="s">
        <v>281</v>
      </c>
      <c r="G72" s="7" t="s">
        <v>282</v>
      </c>
      <c r="H72" s="7" t="s">
        <v>283</v>
      </c>
      <c r="I72" s="4" t="s">
        <v>43</v>
      </c>
      <c r="J72" s="4" t="s">
        <v>25</v>
      </c>
      <c r="K72" s="8"/>
      <c r="L72" s="8"/>
      <c r="M72" s="8"/>
      <c r="N72" s="8"/>
      <c r="O72" s="8"/>
      <c r="P72" s="8"/>
      <c r="Q72" s="9"/>
    </row>
    <row r="73" spans="1:17" ht="42" customHeight="1" x14ac:dyDescent="0.2">
      <c r="A73" s="4">
        <v>69</v>
      </c>
      <c r="B73" s="4">
        <v>5</v>
      </c>
      <c r="C73" s="4">
        <v>11</v>
      </c>
      <c r="D73" s="5" t="s">
        <v>276</v>
      </c>
      <c r="E73" s="5" t="s">
        <v>284</v>
      </c>
      <c r="F73" s="6" t="s">
        <v>285</v>
      </c>
      <c r="G73" s="7" t="s">
        <v>286</v>
      </c>
      <c r="H73" s="7" t="s">
        <v>94</v>
      </c>
      <c r="I73" s="4" t="s">
        <v>43</v>
      </c>
      <c r="J73" s="4" t="s">
        <v>79</v>
      </c>
      <c r="K73" s="8"/>
      <c r="L73" s="8"/>
      <c r="M73" s="8"/>
      <c r="N73" s="8"/>
      <c r="O73" s="8"/>
      <c r="P73" s="8"/>
      <c r="Q73" s="9"/>
    </row>
    <row r="74" spans="1:17" ht="42" customHeight="1" x14ac:dyDescent="0.2">
      <c r="A74" s="4">
        <v>70</v>
      </c>
      <c r="B74" s="4">
        <v>5</v>
      </c>
      <c r="C74" s="4">
        <v>11</v>
      </c>
      <c r="D74" s="5" t="s">
        <v>276</v>
      </c>
      <c r="E74" s="5" t="s">
        <v>287</v>
      </c>
      <c r="F74" s="6" t="s">
        <v>288</v>
      </c>
      <c r="G74" s="7" t="s">
        <v>289</v>
      </c>
      <c r="H74" s="7" t="s">
        <v>94</v>
      </c>
      <c r="I74" s="4" t="s">
        <v>43</v>
      </c>
      <c r="J74" s="4" t="s">
        <v>25</v>
      </c>
      <c r="K74" s="8"/>
      <c r="L74" s="8"/>
      <c r="M74" s="8"/>
      <c r="N74" s="8"/>
      <c r="O74" s="8"/>
      <c r="P74" s="8"/>
      <c r="Q74" s="9"/>
    </row>
    <row r="75" spans="1:17" ht="42" customHeight="1" x14ac:dyDescent="0.2">
      <c r="A75" s="4">
        <v>71</v>
      </c>
      <c r="B75" s="4">
        <v>5</v>
      </c>
      <c r="C75" s="4">
        <v>11</v>
      </c>
      <c r="D75" s="5" t="s">
        <v>276</v>
      </c>
      <c r="E75" s="5" t="s">
        <v>290</v>
      </c>
      <c r="F75" s="6" t="s">
        <v>291</v>
      </c>
      <c r="G75" s="7" t="s">
        <v>292</v>
      </c>
      <c r="H75" s="7" t="s">
        <v>55</v>
      </c>
      <c r="I75" s="4" t="s">
        <v>43</v>
      </c>
      <c r="J75" s="4" t="s">
        <v>25</v>
      </c>
      <c r="K75" s="8"/>
      <c r="L75" s="8"/>
      <c r="M75" s="8"/>
      <c r="N75" s="8"/>
      <c r="O75" s="8"/>
      <c r="P75" s="8"/>
      <c r="Q75" s="9"/>
    </row>
    <row r="76" spans="1:17" ht="42" customHeight="1" x14ac:dyDescent="0.2">
      <c r="A76" s="4">
        <v>72</v>
      </c>
      <c r="B76" s="4">
        <v>5</v>
      </c>
      <c r="C76" s="4">
        <v>11</v>
      </c>
      <c r="D76" s="5" t="s">
        <v>276</v>
      </c>
      <c r="E76" s="5" t="s">
        <v>293</v>
      </c>
      <c r="F76" s="6" t="s">
        <v>294</v>
      </c>
      <c r="G76" s="7" t="s">
        <v>295</v>
      </c>
      <c r="H76" s="7" t="s">
        <v>35</v>
      </c>
      <c r="I76" s="4" t="s">
        <v>43</v>
      </c>
      <c r="J76" s="4" t="s">
        <v>25</v>
      </c>
      <c r="K76" s="8"/>
      <c r="L76" s="8"/>
      <c r="M76" s="8"/>
      <c r="N76" s="8"/>
      <c r="O76" s="8"/>
      <c r="P76" s="8"/>
      <c r="Q76" s="9"/>
    </row>
    <row r="77" spans="1:17" ht="42" customHeight="1" x14ac:dyDescent="0.2">
      <c r="A77" s="4">
        <v>73</v>
      </c>
      <c r="B77" s="4">
        <v>5</v>
      </c>
      <c r="C77" s="4">
        <v>11</v>
      </c>
      <c r="D77" s="5" t="s">
        <v>276</v>
      </c>
      <c r="E77" s="5" t="s">
        <v>296</v>
      </c>
      <c r="F77" s="6" t="s">
        <v>297</v>
      </c>
      <c r="G77" s="7" t="s">
        <v>298</v>
      </c>
      <c r="H77" s="7" t="s">
        <v>299</v>
      </c>
      <c r="I77" s="4" t="s">
        <v>43</v>
      </c>
      <c r="J77" s="4" t="s">
        <v>79</v>
      </c>
      <c r="K77" s="8"/>
      <c r="L77" s="8"/>
      <c r="M77" s="8"/>
      <c r="N77" s="8"/>
      <c r="O77" s="8"/>
      <c r="P77" s="8"/>
      <c r="Q77" s="9"/>
    </row>
    <row r="78" spans="1:17" ht="42" customHeight="1" x14ac:dyDescent="0.2">
      <c r="A78" s="4">
        <v>74</v>
      </c>
      <c r="B78" s="4">
        <v>5</v>
      </c>
      <c r="C78" s="4">
        <v>11</v>
      </c>
      <c r="D78" s="5" t="s">
        <v>276</v>
      </c>
      <c r="E78" s="5" t="s">
        <v>300</v>
      </c>
      <c r="F78" s="6" t="s">
        <v>301</v>
      </c>
      <c r="G78" s="7" t="s">
        <v>302</v>
      </c>
      <c r="H78" s="7" t="s">
        <v>94</v>
      </c>
      <c r="I78" s="4" t="s">
        <v>43</v>
      </c>
      <c r="J78" s="4" t="s">
        <v>79</v>
      </c>
      <c r="K78" s="8"/>
      <c r="L78" s="8"/>
      <c r="M78" s="8"/>
      <c r="N78" s="8"/>
      <c r="O78" s="8"/>
      <c r="P78" s="8"/>
      <c r="Q78" s="9"/>
    </row>
    <row r="79" spans="1:17" ht="42" customHeight="1" x14ac:dyDescent="0.2">
      <c r="A79" s="4">
        <v>75</v>
      </c>
      <c r="B79" s="4">
        <v>5</v>
      </c>
      <c r="C79" s="4">
        <v>12</v>
      </c>
      <c r="D79" s="5" t="s">
        <v>303</v>
      </c>
      <c r="E79" s="5" t="s">
        <v>304</v>
      </c>
      <c r="F79" s="6" t="s">
        <v>305</v>
      </c>
      <c r="G79" s="7" t="s">
        <v>306</v>
      </c>
      <c r="H79" s="7" t="s">
        <v>307</v>
      </c>
      <c r="I79" s="4" t="s">
        <v>43</v>
      </c>
      <c r="J79" s="4" t="s">
        <v>25</v>
      </c>
      <c r="K79" s="8"/>
      <c r="L79" s="8"/>
      <c r="M79" s="8"/>
      <c r="N79" s="8"/>
      <c r="O79" s="8"/>
      <c r="P79" s="8"/>
      <c r="Q79" s="9"/>
    </row>
    <row r="80" spans="1:17" ht="42" customHeight="1" x14ac:dyDescent="0.2">
      <c r="A80" s="4">
        <v>76</v>
      </c>
      <c r="B80" s="4">
        <v>5</v>
      </c>
      <c r="C80" s="4">
        <v>12</v>
      </c>
      <c r="D80" s="5" t="s">
        <v>303</v>
      </c>
      <c r="E80" s="5" t="s">
        <v>308</v>
      </c>
      <c r="F80" s="6" t="s">
        <v>309</v>
      </c>
      <c r="G80" s="7" t="s">
        <v>310</v>
      </c>
      <c r="H80" s="7" t="s">
        <v>311</v>
      </c>
      <c r="I80" s="4" t="s">
        <v>43</v>
      </c>
      <c r="J80" s="4" t="s">
        <v>25</v>
      </c>
      <c r="K80" s="8"/>
      <c r="L80" s="8"/>
      <c r="M80" s="8"/>
      <c r="N80" s="8"/>
      <c r="O80" s="8"/>
      <c r="P80" s="8"/>
      <c r="Q80" s="9"/>
    </row>
    <row r="81" spans="1:17" ht="42" customHeight="1" x14ac:dyDescent="0.2">
      <c r="A81" s="4">
        <v>77</v>
      </c>
      <c r="B81" s="4">
        <v>5</v>
      </c>
      <c r="C81" s="4">
        <v>12</v>
      </c>
      <c r="D81" s="5" t="s">
        <v>303</v>
      </c>
      <c r="E81" s="5" t="s">
        <v>312</v>
      </c>
      <c r="F81" s="6" t="s">
        <v>313</v>
      </c>
      <c r="G81" s="7" t="s">
        <v>306</v>
      </c>
      <c r="H81" s="7" t="s">
        <v>314</v>
      </c>
      <c r="I81" s="4" t="s">
        <v>43</v>
      </c>
      <c r="J81" s="4" t="s">
        <v>25</v>
      </c>
      <c r="K81" s="8"/>
      <c r="L81" s="8"/>
      <c r="M81" s="8"/>
      <c r="N81" s="8"/>
      <c r="O81" s="8"/>
      <c r="P81" s="8"/>
      <c r="Q81" s="9"/>
    </row>
    <row r="82" spans="1:17" ht="42" customHeight="1" x14ac:dyDescent="0.2">
      <c r="A82" s="4">
        <v>78</v>
      </c>
      <c r="B82" s="4">
        <v>5</v>
      </c>
      <c r="C82" s="4">
        <v>12</v>
      </c>
      <c r="D82" s="5" t="s">
        <v>303</v>
      </c>
      <c r="E82" s="5" t="s">
        <v>315</v>
      </c>
      <c r="F82" s="6" t="s">
        <v>316</v>
      </c>
      <c r="G82" s="7" t="s">
        <v>317</v>
      </c>
      <c r="H82" s="7" t="s">
        <v>35</v>
      </c>
      <c r="I82" s="4" t="s">
        <v>43</v>
      </c>
      <c r="J82" s="4" t="s">
        <v>79</v>
      </c>
      <c r="K82" s="8"/>
      <c r="L82" s="8"/>
      <c r="M82" s="8"/>
      <c r="N82" s="8"/>
      <c r="O82" s="8"/>
      <c r="P82" s="8"/>
      <c r="Q82" s="9"/>
    </row>
  </sheetData>
  <autoFilter ref="A3:Q82" xr:uid="{00000000-0009-0000-0000-000000000000}"/>
  <mergeCells count="2">
    <mergeCell ref="A1:Q1"/>
    <mergeCell ref="A2:Q2"/>
  </mergeCells>
  <conditionalFormatting sqref="I5:I82">
    <cfRule type="cellIs" dxfId="5" priority="5" operator="equal">
      <formula>"Hard"</formula>
    </cfRule>
  </conditionalFormatting>
  <conditionalFormatting sqref="K5:K82">
    <cfRule type="cellIs" dxfId="4" priority="2" operator="equal">
      <formula>"Done"</formula>
    </cfRule>
    <cfRule type="cellIs" dxfId="3" priority="3" operator="equal">
      <formula>"In Progress"</formula>
    </cfRule>
  </conditionalFormatting>
  <conditionalFormatting sqref="N5:N82">
    <cfRule type="cellIs" dxfId="2" priority="4" operator="equal">
      <formula>"Yes"</formula>
    </cfRule>
  </conditionalFormatting>
  <dataValidations count="3">
    <dataValidation type="list" allowBlank="1" sqref="M5:O82" xr:uid="{00000000-0002-0000-0000-000001000000}">
      <formula1>"Yes,No"</formula1>
      <formula2>0</formula2>
    </dataValidation>
    <dataValidation type="list" allowBlank="1" sqref="P5:P82" xr:uid="{00000000-0002-0000-0000-000002000000}">
      <formula1>"1,2,3,4,5"</formula1>
      <formula2>0</formula2>
    </dataValidation>
    <dataValidation type="list" allowBlank="1" sqref="K5:K38 K40:K82" xr:uid="{00000000-0002-0000-00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3" width="15" customWidth="1"/>
    <col min="4" max="4" width="26" customWidth="1"/>
    <col min="5" max="7" width="15" customWidth="1"/>
  </cols>
  <sheetData>
    <row r="1" spans="1:7" ht="25.5" customHeight="1" x14ac:dyDescent="0.2">
      <c r="A1" s="27" t="s">
        <v>318</v>
      </c>
      <c r="B1" s="27"/>
      <c r="C1" s="27"/>
      <c r="D1" s="27"/>
      <c r="E1" s="27"/>
      <c r="F1" s="27"/>
      <c r="G1" s="27"/>
    </row>
    <row r="3" spans="1:7" x14ac:dyDescent="0.2">
      <c r="A3" s="29" t="s">
        <v>319</v>
      </c>
      <c r="B3" s="29"/>
      <c r="D3" s="29" t="s">
        <v>320</v>
      </c>
      <c r="E3" s="29"/>
      <c r="F3" s="29"/>
      <c r="G3" s="29"/>
    </row>
    <row r="4" spans="1:7" x14ac:dyDescent="0.2">
      <c r="A4" s="10" t="s">
        <v>321</v>
      </c>
      <c r="B4" s="11">
        <f>COUNTA(Tracker!$E$5:$E$82)</f>
        <v>78</v>
      </c>
      <c r="D4" s="12" t="s">
        <v>3</v>
      </c>
      <c r="E4" s="12" t="s">
        <v>322</v>
      </c>
      <c r="F4" s="12" t="s">
        <v>26</v>
      </c>
      <c r="G4" s="12" t="s">
        <v>323</v>
      </c>
    </row>
    <row r="5" spans="1:7" x14ac:dyDescent="0.2">
      <c r="A5" s="10" t="s">
        <v>324</v>
      </c>
      <c r="B5" s="11">
        <f>COUNTIF(Tracker!$K$5:$K$82,"Done")</f>
        <v>31</v>
      </c>
      <c r="D5" s="11">
        <v>1</v>
      </c>
      <c r="E5" s="11">
        <f>COUNTIF(Tracker!$B$5:$B$82,$D5)</f>
        <v>16</v>
      </c>
      <c r="F5" s="11">
        <f>COUNTIFS(Tracker!$B$5:$B$82,$D5,Tracker!$K$5:$K$82,"Done")</f>
        <v>14</v>
      </c>
      <c r="G5" s="13">
        <f t="shared" ref="G5:G10" si="0">IFERROR(F5/E5,0)</f>
        <v>0.875</v>
      </c>
    </row>
    <row r="6" spans="1:7" x14ac:dyDescent="0.2">
      <c r="A6" s="10" t="s">
        <v>325</v>
      </c>
      <c r="B6" s="11">
        <f>COUNTIF(Tracker!$K$5:$K$82,"In Progress")</f>
        <v>0</v>
      </c>
      <c r="D6" s="11">
        <v>2</v>
      </c>
      <c r="E6" s="11">
        <f>COUNTIF(Tracker!$B$5:$B$82,$D6)</f>
        <v>16</v>
      </c>
      <c r="F6" s="11">
        <f>COUNTIFS(Tracker!$B$5:$B$82,$D6,Tracker!$K$5:$K$82,"Done")</f>
        <v>5</v>
      </c>
      <c r="G6" s="13">
        <f t="shared" si="0"/>
        <v>0.3125</v>
      </c>
    </row>
    <row r="7" spans="1:7" x14ac:dyDescent="0.2">
      <c r="A7" s="10" t="s">
        <v>326</v>
      </c>
      <c r="B7" s="11">
        <f>COUNTA(Tracker!$E$5:$E$82)-COUNTIF(Tracker!$K$5:$K$82,"Done")-COUNTIF(Tracker!$K$5:$K$82,"In Progress")-COUNTIF(Tracker!$K$5:$K$82,"Skipped")</f>
        <v>47</v>
      </c>
      <c r="D7" s="11">
        <v>3</v>
      </c>
      <c r="E7" s="11">
        <f>COUNTIF(Tracker!$B$5:$B$82,$D7)</f>
        <v>16</v>
      </c>
      <c r="F7" s="11">
        <f>COUNTIFS(Tracker!$B$5:$B$82,$D7,Tracker!$K$5:$K$82,"Done")</f>
        <v>12</v>
      </c>
      <c r="G7" s="13">
        <f t="shared" si="0"/>
        <v>0.75</v>
      </c>
    </row>
    <row r="8" spans="1:7" x14ac:dyDescent="0.2">
      <c r="A8" s="10" t="s">
        <v>327</v>
      </c>
      <c r="B8" s="13">
        <f>IFERROR(B5/B4,0)</f>
        <v>0.39743589743589741</v>
      </c>
      <c r="D8" s="11">
        <v>4</v>
      </c>
      <c r="E8" s="11">
        <f>COUNTIF(Tracker!$B$5:$B$82,$D8)</f>
        <v>16</v>
      </c>
      <c r="F8" s="11">
        <f>COUNTIFS(Tracker!$B$5:$B$82,$D8,Tracker!$K$5:$K$82,"Done")</f>
        <v>0</v>
      </c>
      <c r="G8" s="13">
        <f t="shared" si="0"/>
        <v>0</v>
      </c>
    </row>
    <row r="9" spans="1:7" x14ac:dyDescent="0.2">
      <c r="A9" s="10" t="s">
        <v>328</v>
      </c>
      <c r="B9" s="11">
        <f>COUNTIFS(Tracker!$J$5:$J$82,"Core",Tracker!$K$5:$K$82,"Done")</f>
        <v>28</v>
      </c>
      <c r="D9" s="11">
        <v>5</v>
      </c>
      <c r="E9" s="11">
        <f>COUNTIF(Tracker!$B$5:$B$82,$D9)</f>
        <v>14</v>
      </c>
      <c r="F9" s="11">
        <f>COUNTIFS(Tracker!$B$5:$B$82,$D9,Tracker!$K$5:$K$82,"Done")</f>
        <v>0</v>
      </c>
      <c r="G9" s="13">
        <f t="shared" si="0"/>
        <v>0</v>
      </c>
    </row>
    <row r="10" spans="1:7" x14ac:dyDescent="0.2">
      <c r="A10" s="10" t="s">
        <v>329</v>
      </c>
      <c r="B10" s="11">
        <f>COUNTIF(Tracker!$J$5:$J$82,"Core")</f>
        <v>59</v>
      </c>
      <c r="D10" s="14" t="s">
        <v>330</v>
      </c>
      <c r="E10" s="14">
        <f>SUM(E5:E9)</f>
        <v>78</v>
      </c>
      <c r="F10" s="14">
        <f>SUM(F5:F9)</f>
        <v>31</v>
      </c>
      <c r="G10" s="15">
        <f t="shared" si="0"/>
        <v>0.39743589743589741</v>
      </c>
    </row>
    <row r="11" spans="1:7" x14ac:dyDescent="0.2">
      <c r="A11" s="10" t="s">
        <v>331</v>
      </c>
      <c r="B11" s="13">
        <f>IFERROR(B9/B10,0)</f>
        <v>0.47457627118644069</v>
      </c>
    </row>
    <row r="12" spans="1:7" x14ac:dyDescent="0.2">
      <c r="A12" s="10" t="s">
        <v>332</v>
      </c>
      <c r="B12" s="11">
        <f>COUNTIF(Tracker!$M$5:$M$82,"Yes")</f>
        <v>0</v>
      </c>
      <c r="D12" s="29" t="s">
        <v>333</v>
      </c>
      <c r="E12" s="29"/>
      <c r="F12" s="29"/>
      <c r="G12" s="29"/>
    </row>
    <row r="13" spans="1:7" x14ac:dyDescent="0.2">
      <c r="A13" s="10" t="s">
        <v>334</v>
      </c>
      <c r="B13" s="13">
        <f>IFERROR(B12/MAX(B5,1),0)</f>
        <v>0</v>
      </c>
      <c r="D13" s="12" t="s">
        <v>5</v>
      </c>
      <c r="E13" s="12" t="s">
        <v>322</v>
      </c>
      <c r="F13" s="12" t="s">
        <v>26</v>
      </c>
      <c r="G13" s="12" t="s">
        <v>323</v>
      </c>
    </row>
    <row r="14" spans="1:7" x14ac:dyDescent="0.2">
      <c r="A14" s="10" t="s">
        <v>335</v>
      </c>
      <c r="B14" s="11">
        <f>SUM(Tracker!$L$5:$L$82)</f>
        <v>0</v>
      </c>
      <c r="D14" s="16" t="s">
        <v>30</v>
      </c>
      <c r="E14" s="11">
        <f>COUNTIF(Tracker!$D$5:$D$82,$D14)</f>
        <v>8</v>
      </c>
      <c r="F14" s="11">
        <f>COUNTIFS(Tracker!$D$5:$D$82,$D14,Tracker!$K$5:$K$82,"Done")</f>
        <v>7</v>
      </c>
      <c r="G14" s="13">
        <f t="shared" ref="G14:G25" si="1">IFERROR(F14/E14,0)</f>
        <v>0.875</v>
      </c>
    </row>
    <row r="15" spans="1:7" x14ac:dyDescent="0.2">
      <c r="A15" s="10" t="s">
        <v>336</v>
      </c>
      <c r="B15" s="17">
        <f>IFERROR(B14/60,0)</f>
        <v>0</v>
      </c>
      <c r="D15" s="16" t="s">
        <v>60</v>
      </c>
      <c r="E15" s="11">
        <f>COUNTIF(Tracker!$D$5:$D$82,$D15)</f>
        <v>6</v>
      </c>
      <c r="F15" s="11">
        <f>COUNTIFS(Tracker!$D$5:$D$82,$D15,Tracker!$K$5:$K$82,"Done")</f>
        <v>5</v>
      </c>
      <c r="G15" s="13">
        <f t="shared" si="1"/>
        <v>0.83333333333333337</v>
      </c>
    </row>
    <row r="16" spans="1:7" x14ac:dyDescent="0.2">
      <c r="A16" s="10" t="s">
        <v>337</v>
      </c>
      <c r="B16" s="17">
        <f>IFERROR(B14/MAX(B5,1),0)</f>
        <v>0</v>
      </c>
      <c r="D16" s="16" t="s">
        <v>86</v>
      </c>
      <c r="E16" s="11">
        <f>COUNTIF(Tracker!$D$5:$D$82,$D16)</f>
        <v>7</v>
      </c>
      <c r="F16" s="11">
        <f>COUNTIFS(Tracker!$D$5:$D$82,$D16,Tracker!$K$5:$K$82,"Done")</f>
        <v>2</v>
      </c>
      <c r="G16" s="13">
        <f t="shared" si="1"/>
        <v>0.2857142857142857</v>
      </c>
    </row>
    <row r="17" spans="1:7" x14ac:dyDescent="0.2">
      <c r="A17" s="10" t="s">
        <v>338</v>
      </c>
      <c r="B17" s="17">
        <f>IFERROR(AVERAGE(Tracker!$P$5:$P$82),0)</f>
        <v>0</v>
      </c>
      <c r="D17" s="16" t="s">
        <v>113</v>
      </c>
      <c r="E17" s="11">
        <f>COUNTIF(Tracker!$D$5:$D$82,$D17)</f>
        <v>5</v>
      </c>
      <c r="F17" s="11">
        <f>COUNTIFS(Tracker!$D$5:$D$82,$D17,Tracker!$K$5:$K$82,"Done")</f>
        <v>4</v>
      </c>
      <c r="G17" s="13">
        <f t="shared" si="1"/>
        <v>0.8</v>
      </c>
    </row>
    <row r="18" spans="1:7" x14ac:dyDescent="0.2">
      <c r="A18" s="10" t="s">
        <v>339</v>
      </c>
      <c r="B18" s="11">
        <f>COUNTIFS(Tracker!$N$5:$N$82,"Yes",Tracker!$O$5:$O$82,"No")+COUNTIFS(Tracker!$N$5:$N$82,"Yes",Tracker!$O$5:$O$82,"")</f>
        <v>0</v>
      </c>
      <c r="D18" s="16" t="s">
        <v>133</v>
      </c>
      <c r="E18" s="11">
        <f>COUNTIF(Tracker!$D$5:$D$82,$D18)</f>
        <v>6</v>
      </c>
      <c r="F18" s="11">
        <f>COUNTIFS(Tracker!$D$5:$D$82,$D18,Tracker!$K$5:$K$82,"Done")</f>
        <v>1</v>
      </c>
      <c r="G18" s="13">
        <f t="shared" si="1"/>
        <v>0.16666666666666666</v>
      </c>
    </row>
    <row r="19" spans="1:7" x14ac:dyDescent="0.2">
      <c r="D19" s="16" t="s">
        <v>153</v>
      </c>
      <c r="E19" s="11">
        <f>COUNTIF(Tracker!$D$5:$D$82,$D19)</f>
        <v>6</v>
      </c>
      <c r="F19" s="11">
        <f>COUNTIFS(Tracker!$D$5:$D$82,$D19,Tracker!$K$5:$K$82,"Done")</f>
        <v>4</v>
      </c>
      <c r="G19" s="13">
        <f t="shared" si="1"/>
        <v>0.66666666666666663</v>
      </c>
    </row>
    <row r="20" spans="1:7" x14ac:dyDescent="0.2">
      <c r="A20" s="29" t="s">
        <v>340</v>
      </c>
      <c r="B20" s="29"/>
      <c r="D20" s="16" t="s">
        <v>177</v>
      </c>
      <c r="E20" s="11">
        <f>COUNTIF(Tracker!$D$5:$D$82,$D20)</f>
        <v>10</v>
      </c>
      <c r="F20" s="11">
        <f>COUNTIFS(Tracker!$D$5:$D$82,$D20,Tracker!$K$5:$K$82,"Done")</f>
        <v>8</v>
      </c>
      <c r="G20" s="13">
        <f t="shared" si="1"/>
        <v>0.8</v>
      </c>
    </row>
    <row r="21" spans="1:7" x14ac:dyDescent="0.2">
      <c r="A21" s="10" t="s">
        <v>341</v>
      </c>
      <c r="B21" s="18" t="str">
        <f>IF(B9&gt;=B10,"READY","NOT YET")</f>
        <v>NOT YET</v>
      </c>
      <c r="D21" s="16" t="s">
        <v>211</v>
      </c>
      <c r="E21" s="11">
        <f>COUNTIF(Tracker!$D$5:$D$82,$D21)</f>
        <v>5</v>
      </c>
      <c r="F21" s="11">
        <f>COUNTIFS(Tracker!$D$5:$D$82,$D21,Tracker!$K$5:$K$82,"Done")</f>
        <v>0</v>
      </c>
      <c r="G21" s="13">
        <f t="shared" si="1"/>
        <v>0</v>
      </c>
    </row>
    <row r="22" spans="1:7" x14ac:dyDescent="0.2">
      <c r="A22" s="10" t="s">
        <v>342</v>
      </c>
      <c r="B22" s="18" t="str">
        <f>IF(B13&gt;=0.7,"READY","NOT YET")</f>
        <v>NOT YET</v>
      </c>
      <c r="D22" s="16" t="s">
        <v>231</v>
      </c>
      <c r="E22" s="11">
        <f>COUNTIF(Tracker!$D$5:$D$82,$D22)</f>
        <v>8</v>
      </c>
      <c r="F22" s="11">
        <f>COUNTIFS(Tracker!$D$5:$D$82,$D22,Tracker!$K$5:$K$82,"Done")</f>
        <v>0</v>
      </c>
      <c r="G22" s="13">
        <f t="shared" si="1"/>
        <v>0</v>
      </c>
    </row>
    <row r="23" spans="1:7" x14ac:dyDescent="0.2">
      <c r="A23" s="10" t="s">
        <v>343</v>
      </c>
      <c r="B23" s="18" t="str">
        <f>IF(B17&gt;=3.5,"READY","NOT YET")</f>
        <v>NOT YET</v>
      </c>
      <c r="D23" s="16" t="s">
        <v>259</v>
      </c>
      <c r="E23" s="11">
        <f>COUNTIF(Tracker!$D$5:$D$82,$D23)</f>
        <v>5</v>
      </c>
      <c r="F23" s="11">
        <f>COUNTIFS(Tracker!$D$5:$D$82,$D23,Tracker!$K$5:$K$82,"Done")</f>
        <v>0</v>
      </c>
      <c r="G23" s="13">
        <f t="shared" si="1"/>
        <v>0</v>
      </c>
    </row>
    <row r="24" spans="1:7" x14ac:dyDescent="0.2">
      <c r="A24" s="10" t="s">
        <v>344</v>
      </c>
      <c r="B24" s="18" t="str">
        <f>IF(B19=0,"READY","NOT YET")</f>
        <v>READY</v>
      </c>
      <c r="D24" s="16" t="s">
        <v>276</v>
      </c>
      <c r="E24" s="11">
        <f>COUNTIF(Tracker!$D$5:$D$82,$D24)</f>
        <v>8</v>
      </c>
      <c r="F24" s="11">
        <f>COUNTIFS(Tracker!$D$5:$D$82,$D24,Tracker!$K$5:$K$82,"Done")</f>
        <v>0</v>
      </c>
      <c r="G24" s="13">
        <f t="shared" si="1"/>
        <v>0</v>
      </c>
    </row>
    <row r="25" spans="1:7" x14ac:dyDescent="0.2">
      <c r="D25" s="16" t="s">
        <v>303</v>
      </c>
      <c r="E25" s="11">
        <f>COUNTIF(Tracker!$D$5:$D$82,$D25)</f>
        <v>4</v>
      </c>
      <c r="F25" s="11">
        <f>COUNTIFS(Tracker!$D$5:$D$82,$D25,Tracker!$K$5:$K$82,"Done")</f>
        <v>0</v>
      </c>
      <c r="G25" s="13">
        <f t="shared" si="1"/>
        <v>0</v>
      </c>
    </row>
    <row r="26" spans="1:7" x14ac:dyDescent="0.2">
      <c r="A26" s="28" t="s">
        <v>345</v>
      </c>
      <c r="B26" s="28"/>
      <c r="C26" s="28"/>
      <c r="D26" s="28"/>
      <c r="E26" s="28"/>
      <c r="F26" s="28"/>
      <c r="G26" s="28"/>
    </row>
  </sheetData>
  <mergeCells count="6">
    <mergeCell ref="A26:G26"/>
    <mergeCell ref="A1:G1"/>
    <mergeCell ref="A3:B3"/>
    <mergeCell ref="D3:G3"/>
    <mergeCell ref="D12:G12"/>
    <mergeCell ref="A20:B20"/>
  </mergeCells>
  <conditionalFormatting sqref="B21:B24">
    <cfRule type="cellIs" dxfId="1" priority="2" operator="equal">
      <formula>"READY"</formula>
    </cfRule>
    <cfRule type="cellIs" dxfId="0" priority="3" operator="equal">
      <formula>"NOT YET"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14" customWidth="1"/>
    <col min="3" max="3" width="15" customWidth="1"/>
    <col min="4" max="4" width="16" customWidth="1"/>
    <col min="5" max="5" width="28" customWidth="1"/>
    <col min="6" max="6" width="62" customWidth="1"/>
  </cols>
  <sheetData>
    <row r="1" spans="1:6" ht="25.5" customHeight="1" x14ac:dyDescent="0.2">
      <c r="A1" s="27" t="s">
        <v>346</v>
      </c>
      <c r="B1" s="27"/>
      <c r="C1" s="27"/>
      <c r="D1" s="27"/>
      <c r="E1" s="27"/>
      <c r="F1" s="27"/>
    </row>
    <row r="2" spans="1:6" ht="30" customHeight="1" x14ac:dyDescent="0.2">
      <c r="A2" s="1" t="s">
        <v>3</v>
      </c>
      <c r="B2" s="1" t="s">
        <v>347</v>
      </c>
      <c r="C2" s="1" t="s">
        <v>348</v>
      </c>
      <c r="D2" s="1" t="s">
        <v>349</v>
      </c>
      <c r="E2" s="1" t="s">
        <v>350</v>
      </c>
      <c r="F2" s="1" t="s">
        <v>351</v>
      </c>
    </row>
    <row r="3" spans="1:6" x14ac:dyDescent="0.2">
      <c r="A3" s="19">
        <v>0</v>
      </c>
      <c r="B3" s="19" t="s">
        <v>352</v>
      </c>
      <c r="C3" s="19">
        <v>2.5</v>
      </c>
      <c r="D3" s="19">
        <v>14</v>
      </c>
      <c r="E3" s="19" t="s">
        <v>353</v>
      </c>
      <c r="F3" s="19" t="s">
        <v>354</v>
      </c>
    </row>
    <row r="4" spans="1:6" ht="33.75" customHeight="1" x14ac:dyDescent="0.2">
      <c r="A4" s="18">
        <v>1</v>
      </c>
      <c r="B4" s="20"/>
      <c r="C4" s="20"/>
      <c r="D4" s="20"/>
      <c r="E4" s="20"/>
      <c r="F4" s="21"/>
    </row>
    <row r="5" spans="1:6" ht="33.75" customHeight="1" x14ac:dyDescent="0.2">
      <c r="A5" s="18">
        <v>2</v>
      </c>
      <c r="B5" s="20"/>
      <c r="C5" s="20"/>
      <c r="D5" s="20"/>
      <c r="E5" s="20"/>
      <c r="F5" s="21"/>
    </row>
    <row r="6" spans="1:6" ht="33.75" customHeight="1" x14ac:dyDescent="0.2">
      <c r="A6" s="18">
        <v>3</v>
      </c>
      <c r="B6" s="20"/>
      <c r="C6" s="20"/>
      <c r="D6" s="20"/>
      <c r="E6" s="20"/>
      <c r="F6" s="21"/>
    </row>
    <row r="7" spans="1:6" ht="33.75" customHeight="1" x14ac:dyDescent="0.2">
      <c r="A7" s="18">
        <v>4</v>
      </c>
      <c r="B7" s="20"/>
      <c r="C7" s="20"/>
      <c r="D7" s="20"/>
      <c r="E7" s="20"/>
      <c r="F7" s="21"/>
    </row>
    <row r="8" spans="1:6" ht="33.75" customHeight="1" x14ac:dyDescent="0.2">
      <c r="A8" s="18">
        <v>5</v>
      </c>
      <c r="B8" s="20"/>
      <c r="C8" s="20"/>
      <c r="D8" s="20"/>
      <c r="E8" s="20"/>
      <c r="F8" s="21"/>
    </row>
    <row r="9" spans="1:6" x14ac:dyDescent="0.2">
      <c r="A9" s="22" t="s">
        <v>330</v>
      </c>
      <c r="B9" s="23"/>
      <c r="C9" s="22">
        <f>SUM(C4:C8)</f>
        <v>0</v>
      </c>
      <c r="D9" s="22">
        <f>SUM(D4:D8)</f>
        <v>0</v>
      </c>
      <c r="E9" s="23"/>
      <c r="F9" s="2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74" customWidth="1"/>
    <col min="3" max="3" width="16" customWidth="1"/>
  </cols>
  <sheetData>
    <row r="1" spans="1:3" ht="25.5" customHeight="1" x14ac:dyDescent="0.2">
      <c r="A1" s="30" t="s">
        <v>355</v>
      </c>
      <c r="B1" s="30"/>
      <c r="C1" s="30"/>
    </row>
    <row r="2" spans="1:3" x14ac:dyDescent="0.2">
      <c r="A2" s="24" t="s">
        <v>356</v>
      </c>
      <c r="B2" s="24" t="s">
        <v>357</v>
      </c>
      <c r="C2" s="24" t="s">
        <v>358</v>
      </c>
    </row>
    <row r="3" spans="1:3" ht="24" customHeight="1" x14ac:dyDescent="0.2">
      <c r="A3" s="18">
        <v>1</v>
      </c>
      <c r="B3" s="25" t="s">
        <v>359</v>
      </c>
      <c r="C3" s="26"/>
    </row>
    <row r="4" spans="1:3" ht="24" customHeight="1" x14ac:dyDescent="0.2">
      <c r="A4" s="18">
        <v>2</v>
      </c>
      <c r="B4" s="25" t="s">
        <v>360</v>
      </c>
      <c r="C4" s="26"/>
    </row>
    <row r="5" spans="1:3" ht="24" customHeight="1" x14ac:dyDescent="0.2">
      <c r="A5" s="18">
        <v>3</v>
      </c>
      <c r="B5" s="25" t="s">
        <v>361</v>
      </c>
      <c r="C5" s="26"/>
    </row>
    <row r="6" spans="1:3" ht="24" customHeight="1" x14ac:dyDescent="0.2">
      <c r="A6" s="18">
        <v>4</v>
      </c>
      <c r="B6" s="25" t="s">
        <v>362</v>
      </c>
      <c r="C6" s="26"/>
    </row>
    <row r="7" spans="1:3" ht="24" customHeight="1" x14ac:dyDescent="0.2">
      <c r="A7" s="18">
        <v>5</v>
      </c>
      <c r="B7" s="25" t="s">
        <v>363</v>
      </c>
      <c r="C7" s="26"/>
    </row>
    <row r="8" spans="1:3" ht="24" customHeight="1" x14ac:dyDescent="0.2">
      <c r="A8" s="18">
        <v>6</v>
      </c>
      <c r="B8" s="25" t="s">
        <v>364</v>
      </c>
      <c r="C8" s="26"/>
    </row>
    <row r="9" spans="1:3" ht="24" customHeight="1" x14ac:dyDescent="0.2">
      <c r="A9" s="18">
        <v>7</v>
      </c>
      <c r="B9" s="25" t="s">
        <v>365</v>
      </c>
      <c r="C9" s="26"/>
    </row>
    <row r="10" spans="1:3" ht="24" customHeight="1" x14ac:dyDescent="0.2">
      <c r="A10" s="18">
        <v>8</v>
      </c>
      <c r="B10" s="25" t="s">
        <v>366</v>
      </c>
      <c r="C10" s="26"/>
    </row>
    <row r="12" spans="1:3" x14ac:dyDescent="0.2">
      <c r="A12" s="28" t="s">
        <v>367</v>
      </c>
      <c r="B12" s="28"/>
      <c r="C12" s="28"/>
    </row>
  </sheetData>
  <mergeCells count="2">
    <mergeCell ref="A1:C1"/>
    <mergeCell ref="A12:C12"/>
  </mergeCells>
  <dataValidations count="1">
    <dataValidation type="list" allowBlank="1" sqref="C3:C10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Tracker</vt:lpstr>
      <vt:lpstr>Dashboard</vt:lpstr>
      <vt:lpstr>Daily Log</vt:lpstr>
      <vt:lpstr>Delivery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Nishit Ranjan</cp:lastModifiedBy>
  <cp:revision>0</cp:revision>
  <dcterms:created xsi:type="dcterms:W3CDTF">2026-08-25T04:41:46Z</dcterms:created>
  <dcterms:modified xsi:type="dcterms:W3CDTF">2026-08-31T06:59:36Z</dcterms:modified>
  <dc:language>en-US</dc:language>
</cp:coreProperties>
</file>